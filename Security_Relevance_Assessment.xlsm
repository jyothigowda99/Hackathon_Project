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https://bosch-my.sharepoint.com/personal/nfj1kor_bosch_com/Documents/2025/SDS/Templates/"/>
    </mc:Choice>
  </mc:AlternateContent>
  <xr:revisionPtr revIDLastSave="1" documentId="13_ncr:1_{576ED2B4-FA99-4AC7-A26B-AD8F432895B2}" xr6:coauthVersionLast="47" xr6:coauthVersionMax="47" xr10:uidLastSave="{4AA7947B-BB6A-48B3-8A6F-EC2925B6E8B5}"/>
  <bookViews>
    <workbookView xWindow="-110" yWindow="-110" windowWidth="19420" windowHeight="10300" activeTab="2" xr2:uid="{00000000-000D-0000-FFFF-FFFF00000000}"/>
  </bookViews>
  <sheets>
    <sheet name="Version History" sheetId="11" r:id="rId1"/>
    <sheet name="CoverSheet" sheetId="8" r:id="rId2"/>
    <sheet name="Assessment" sheetId="3" r:id="rId3"/>
  </sheets>
  <definedNames>
    <definedName name="d">#REF!</definedName>
    <definedName name="_xlnm.Print_Area" localSheetId="1">CoverSheet!$A$1:$C$29</definedName>
    <definedName name="_xlnm.Print_Area" localSheetId="0">'Version History'!$A$1:$I$22</definedName>
    <definedName name="ProjectName" localSheetId="0">#REF!</definedName>
    <definedName name="ProjectName">#REF!</definedName>
    <definedName name="ProjectNumber" localSheetId="0">#REF!</definedName>
    <definedName name="ProjectNumber">#REF!</definedName>
  </definedNames>
  <calcPr calcId="191028"/>
  <customWorkbookViews>
    <customWorkbookView name="Kaesser Claudia (CC/PJ-PSP) - Personal View" guid="{71297A18-AD6A-4773-A1B4-4884E78029D7}" mergeInterval="0" personalView="1" xWindow="134" yWindow="73" windowWidth="1736" windowHeight="941"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9" i="3" l="1"/>
  <c r="C19" i="3" s="1"/>
  <c r="E18" i="3"/>
  <c r="B21" i="8" s="1"/>
  <c r="E13" i="3"/>
  <c r="E6" i="3"/>
  <c r="E17" i="3"/>
  <c r="C17" i="3" s="1"/>
  <c r="E8" i="3"/>
  <c r="E9" i="3"/>
  <c r="E10" i="3"/>
  <c r="E11" i="3"/>
  <c r="E12" i="3"/>
  <c r="E7" i="3"/>
  <c r="C18" i="3" l="1"/>
  <c r="B22" i="8"/>
</calcChain>
</file>

<file path=xl/sharedStrings.xml><?xml version="1.0" encoding="utf-8"?>
<sst xmlns="http://schemas.openxmlformats.org/spreadsheetml/2006/main" count="109" uniqueCount="87">
  <si>
    <t>1) Metadata</t>
  </si>
  <si>
    <t>Please enter Metadata.</t>
  </si>
  <si>
    <t>Project Name</t>
  </si>
  <si>
    <t>Project</t>
  </si>
  <si>
    <t>Project Number</t>
  </si>
  <si>
    <t>OX-12345</t>
  </si>
  <si>
    <t>Document Responsible</t>
  </si>
  <si>
    <t>Document Status</t>
  </si>
  <si>
    <t>Draft</t>
  </si>
  <si>
    <t>Information Classification</t>
  </si>
  <si>
    <t>internal</t>
  </si>
  <si>
    <t>2) Assessment Summary</t>
  </si>
  <si>
    <t>Security Relevance Assessment result</t>
  </si>
  <si>
    <t>Data Protection Relevance Assessment result</t>
  </si>
  <si>
    <t>Project Sponsor agreement</t>
  </si>
  <si>
    <t>3) Next steps</t>
  </si>
  <si>
    <t>further Product Security activities</t>
  </si>
  <si>
    <t>positive Security Relevance Assessment result</t>
  </si>
  <si>
    <t>Plan budget and resources for activities required for Product Security (Threat and Risk Analysis, Security-Concept, Implementation of Security, Security Verification and Validation incl. Penetration-Tests, Operation, Retirement). Nominate a Project Security Manager (PSecM).</t>
  </si>
  <si>
    <t>positive Data Protection Relevance result</t>
  </si>
  <si>
    <r>
      <rPr>
        <sz val="10"/>
        <rFont val="Tahoma"/>
        <family val="2"/>
      </rPr>
      <t>Fill the “Data Protection Checklist” including the IoT Principles Relevance Assessment.</t>
    </r>
    <r>
      <rPr>
        <b/>
        <sz val="10"/>
        <rFont val="Tahoma"/>
        <family val="2"/>
      </rPr>
      <t xml:space="preserve">
</t>
    </r>
    <r>
      <rPr>
        <sz val="10"/>
        <rFont val="Tahoma"/>
        <family val="2"/>
      </rPr>
      <t xml:space="preserve">If data protection or management of personal data (privacy) is identified to be relevant, the Data Security Officer (DSO) must be informed. </t>
    </r>
  </si>
  <si>
    <t>No</t>
  </si>
  <si>
    <t>Question</t>
  </si>
  <si>
    <t>Answer</t>
  </si>
  <si>
    <t>Additional Remarks to the answer (optional)</t>
  </si>
  <si>
    <t>Status</t>
  </si>
  <si>
    <t>Hints to the question</t>
  </si>
  <si>
    <t>Does unauthorized manipulation of data (including programs and configurations) stored or processed on your target system lead to one or more of the following consequences?
(i) Endanger human safety.
(ii) Legal non-compliance.
(iii) Unacceptable loss of customer trust.
(iv) Unacceptable loss of reputation/image.
(v) Unacceptable financial loss.</t>
  </si>
  <si>
    <t>Integrity</t>
  </si>
  <si>
    <t>Does the target system store or process confidential information?</t>
  </si>
  <si>
    <t xml:space="preserve">Confidentiality </t>
  </si>
  <si>
    <t xml:space="preserve">Does the non-availability of the target system have one or more of the following consequences?
(i) Endanger human safety.
(ii) Legal non-compliance.
(iii) Unacceptable loss of customer trust.
(iv) Unacceptable loss of reputation/image.
(v) Unacceptable financial losses.
</t>
  </si>
  <si>
    <t xml:space="preserve">Availability 
</t>
  </si>
  <si>
    <t>Does one of the following lead to unacceptable loss of revenue?
(i) Loss of intellectual property contained in the target system.
(ii) Unauthorized copying of the target system (or some of its data).
(iii) Unauthorized use of the target system.</t>
  </si>
  <si>
    <t>Impact</t>
  </si>
  <si>
    <t>Does the target system interact with or depend upon an un-trusted network, e.g. public networks such as the Internet?</t>
  </si>
  <si>
    <t>Connected</t>
  </si>
  <si>
    <t>Is the risk of hacking attacks by malicious externals foreseen?</t>
  </si>
  <si>
    <t xml:space="preserve">Hacking </t>
  </si>
  <si>
    <t>Does the product/service collect, process or use personal data (also in form of indirect processes)?</t>
  </si>
  <si>
    <t>Data</t>
  </si>
  <si>
    <t>Is data collected, processed or used which will be, in connection with other data at RB or external party, personal related?</t>
  </si>
  <si>
    <t>Security Relevance Assessment Completeness</t>
  </si>
  <si>
    <t>Security Relevance Assessment Result</t>
  </si>
  <si>
    <t>Data Protection Assessment necessary?</t>
  </si>
  <si>
    <t>Template History</t>
  </si>
  <si>
    <t>Version</t>
  </si>
  <si>
    <t>Date</t>
  </si>
  <si>
    <t>Changed by</t>
  </si>
  <si>
    <t>Description</t>
  </si>
  <si>
    <t xml:space="preserve">Reviewed by </t>
  </si>
  <si>
    <t>Review Date</t>
  </si>
  <si>
    <t>Released by</t>
  </si>
  <si>
    <t>Release Date</t>
  </si>
  <si>
    <t>1.0</t>
  </si>
  <si>
    <t>30-12-2015</t>
  </si>
  <si>
    <t>RBEI/BSW</t>
  </si>
  <si>
    <t>Initial Version</t>
  </si>
  <si>
    <t>Released</t>
  </si>
  <si>
    <t>1.1</t>
  </si>
  <si>
    <t>21-03-2019</t>
  </si>
  <si>
    <t>RBEI/DSO</t>
  </si>
  <si>
    <t>Updated heading</t>
  </si>
  <si>
    <t>1.2</t>
  </si>
  <si>
    <t>17-01-2022</t>
  </si>
  <si>
    <t>BGSW/DSO</t>
  </si>
  <si>
    <t>Updated heading and review of DP questions with the DSO</t>
  </si>
  <si>
    <t>2.0</t>
  </si>
  <si>
    <t>Harishankar VS ( MS/PJ-PSC-IN)</t>
  </si>
  <si>
    <t>BGSW CSMS Proview First version adapted from previous xl sheet with Marcos</t>
  </si>
  <si>
    <t xml:space="preserve">Saxena Abhinav (MS/ECL4) </t>
  </si>
  <si>
    <t>Document History</t>
  </si>
  <si>
    <t>Updated By</t>
  </si>
  <si>
    <t>Approved By</t>
  </si>
  <si>
    <t>Approved Date</t>
  </si>
  <si>
    <t>29-09-2023</t>
  </si>
  <si>
    <t>PM, PSecM</t>
  </si>
  <si>
    <t>2.1</t>
  </si>
  <si>
    <t>Sanjay Shankarappa (BGSW/DSO)</t>
  </si>
  <si>
    <t>Changes in Macro and Applicability of SRA</t>
  </si>
  <si>
    <t>Pending until all questions on the assessment sheet are answered.</t>
  </si>
  <si>
    <r>
      <rPr>
        <b/>
        <sz val="11"/>
        <rFont val="Tahoma"/>
        <family val="2"/>
      </rPr>
      <t>If security is not relevant (during acquisition, or before engineering), a review with ProSO/ITSO is mandatory.</t>
    </r>
    <r>
      <rPr>
        <sz val="11"/>
        <rFont val="Tahoma"/>
        <family val="2"/>
      </rPr>
      <t xml:space="preserve"> 
By default, security is relevant in all the IT Systems and Products of BGSW, and a competent  Project Security Manager (PSecM) shall be identified and communicated to ProSO/ITSO. (review not required). 
Please answer the questions to assess product security and data protection in acquisition phase. If at least one questions is answered positive ('Yes'), the product is security relevant. Plan of budget and resources for activities required for Product Security for the whole lifecycle.
The Cyber Security Relevance Assessment must be approved by the Project Sponsor in case the project has been found to have no cyber security relevance.
Cyber Security relevance is basically given, if the product
a) process or store digital information 
</t>
    </r>
    <r>
      <rPr>
        <b/>
        <sz val="11"/>
        <rFont val="Tahoma"/>
        <family val="2"/>
      </rPr>
      <t>AND</t>
    </r>
    <r>
      <rPr>
        <sz val="11"/>
        <rFont val="Tahoma"/>
        <family val="2"/>
      </rPr>
      <t xml:space="preserve">
b) one of following questions are answered with Yes
Hint: If one answer is 'Yes', than no further answering of the other questions is necessary.</t>
    </r>
  </si>
  <si>
    <t>Guruprasad K S (BGSW/DSO2)</t>
  </si>
  <si>
    <t>06-03-2024</t>
  </si>
  <si>
    <t>Security Relevance Assessment</t>
  </si>
  <si>
    <t>12-06-2024</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</si>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</sst>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0"/>
      <name val="Tahoma"/>
      <family val="2"/>
    </font>
    <font>
      <sz val="10"/>
      <name val="Tahoma"/>
      <family val="2"/>
    </font>
    <font>
      <b/>
      <sz val="10"/>
      <name val="Tahoma"/>
      <family val="2"/>
    </font>
    <font>
      <sz val="10"/>
      <name val="Calibri"/>
      <family val="2"/>
      <scheme val="minor"/>
    </font>
    <font>
      <b/>
      <sz val="10"/>
      <name val="Calibri"/>
      <family val="2"/>
      <scheme val="minor"/>
    </font>
    <font>
      <sz val="20"/>
      <name val="Calibri"/>
      <family val="2"/>
      <scheme val="minor"/>
    </font>
    <font>
      <sz val="10"/>
      <color rgb="FF9C0006"/>
      <name val="Arial"/>
      <family val="2"/>
    </font>
    <font>
      <sz val="24"/>
      <name val="Tahoma"/>
      <family val="2"/>
    </font>
    <font>
      <b/>
      <sz val="10"/>
      <name val="Arial"/>
      <family val="2"/>
    </font>
    <font>
      <u/>
      <sz val="10"/>
      <color theme="10"/>
      <name val="Tahoma"/>
      <family val="2"/>
    </font>
    <font>
      <b/>
      <sz val="22"/>
      <color theme="0"/>
      <name val="Tahoma"/>
      <family val="2"/>
    </font>
    <font>
      <sz val="11"/>
      <name val="Tahoma"/>
      <family val="2"/>
    </font>
    <font>
      <sz val="10"/>
      <color theme="10"/>
      <name val="Tahoma"/>
      <family val="2"/>
    </font>
    <font>
      <b/>
      <sz val="11"/>
      <name val="Tahoma"/>
      <family val="2"/>
    </font>
    <font>
      <sz val="20"/>
      <name val="Tahoma"/>
      <family val="2"/>
    </font>
    <font>
      <strike/>
      <sz val="10"/>
      <name val="Tahoma"/>
      <family val="2"/>
    </font>
    <font>
      <strike/>
      <sz val="20"/>
      <name val="Tahoma"/>
      <family val="2"/>
    </font>
    <font>
      <sz val="11"/>
      <color rgb="FF006100"/>
      <name val="Calibri"/>
      <family val="2"/>
      <scheme val="minor"/>
    </font>
    <font>
      <sz val="11"/>
      <name val="Calibri"/>
      <family val="2"/>
      <scheme val="minor"/>
    </font>
    <font>
      <b/>
      <sz val="12"/>
      <color theme="1"/>
      <name val="Arial"/>
      <family val="2"/>
    </font>
    <font>
      <b/>
      <sz val="10"/>
      <color theme="1"/>
      <name val="Arial"/>
      <family val="2"/>
    </font>
    <font>
      <sz val="10"/>
      <name val="Bosch Office Sans"/>
      <family val="2"/>
    </font>
    <font>
      <sz val="10"/>
      <name val="Arial"/>
      <family val="2"/>
    </font>
    <font>
      <sz val="8"/>
      <name val="Tahoma"/>
      <family val="2"/>
    </font>
  </fonts>
  <fills count="12">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
      <patternFill patternType="solid">
        <fgColor rgb="FFFFC7CE"/>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4"/>
        <bgColor indexed="64"/>
      </patternFill>
    </fill>
    <fill>
      <patternFill patternType="solid">
        <fgColor rgb="FFC6EFCE"/>
      </patternFill>
    </fill>
    <fill>
      <patternFill patternType="solid">
        <fgColor indexed="22"/>
        <bgColor indexed="64"/>
      </patternFill>
    </fill>
    <fill>
      <patternFill patternType="solid">
        <fgColor theme="4"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6">
    <xf numFmtId="0" fontId="0" fillId="0" borderId="0">
      <alignment vertical="top"/>
    </xf>
    <xf numFmtId="9" fontId="1" fillId="0" borderId="0" applyFont="0" applyFill="0" applyBorder="0" applyAlignment="0" applyProtection="0"/>
    <xf numFmtId="0" fontId="6" fillId="4" borderId="0" applyNumberFormat="0" applyBorder="0" applyAlignment="0" applyProtection="0"/>
    <xf numFmtId="0" fontId="1" fillId="0" borderId="0">
      <alignment vertical="top"/>
    </xf>
    <xf numFmtId="0" fontId="9" fillId="0" borderId="0" applyNumberFormat="0" applyFill="0" applyBorder="0" applyAlignment="0" applyProtection="0">
      <alignment vertical="top"/>
    </xf>
    <xf numFmtId="0" fontId="17" fillId="9" borderId="0" applyNumberFormat="0" applyBorder="0" applyAlignment="0" applyProtection="0"/>
  </cellStyleXfs>
  <cellXfs count="84">
    <xf numFmtId="0" fontId="0" fillId="0" borderId="0" xfId="0">
      <alignment vertical="top"/>
    </xf>
    <xf numFmtId="0" fontId="3" fillId="0" borderId="0" xfId="0" applyFont="1" applyAlignment="1">
      <alignment vertical="top" wrapText="1"/>
    </xf>
    <xf numFmtId="0" fontId="3" fillId="0" borderId="0" xfId="0" applyFont="1" applyAlignment="1"/>
    <xf numFmtId="0" fontId="3" fillId="2" borderId="2" xfId="0" applyFont="1" applyFill="1" applyBorder="1" applyAlignment="1">
      <alignment horizontal="left" vertical="top" wrapText="1"/>
    </xf>
    <xf numFmtId="0" fontId="3" fillId="2" borderId="3" xfId="0" applyFont="1" applyFill="1" applyBorder="1" applyAlignment="1">
      <alignment vertical="top" wrapText="1"/>
    </xf>
    <xf numFmtId="0" fontId="4" fillId="2" borderId="6" xfId="0" applyFont="1" applyFill="1" applyBorder="1" applyAlignment="1">
      <alignment vertical="center" wrapText="1"/>
    </xf>
    <xf numFmtId="9" fontId="3" fillId="0" borderId="12" xfId="1" applyFont="1" applyBorder="1" applyAlignment="1">
      <alignment horizontal="center" vertical="center" wrapText="1"/>
    </xf>
    <xf numFmtId="0" fontId="4" fillId="2" borderId="10" xfId="0" applyFont="1" applyFill="1" applyBorder="1" applyAlignment="1">
      <alignment vertical="center" wrapText="1"/>
    </xf>
    <xf numFmtId="0" fontId="5" fillId="2" borderId="5" xfId="0" applyFont="1" applyFill="1" applyBorder="1" applyAlignment="1">
      <alignment horizontal="center" vertical="center" wrapText="1"/>
    </xf>
    <xf numFmtId="0" fontId="4" fillId="2" borderId="9" xfId="0" applyFont="1" applyFill="1" applyBorder="1" applyAlignment="1">
      <alignment vertical="center" wrapText="1"/>
    </xf>
    <xf numFmtId="0" fontId="5" fillId="2" borderId="4" xfId="0" applyFont="1" applyFill="1" applyBorder="1" applyAlignment="1">
      <alignment horizontal="center" vertical="center" wrapText="1"/>
    </xf>
    <xf numFmtId="0" fontId="3" fillId="0" borderId="0" xfId="0" applyFont="1" applyAlignment="1">
      <alignment horizontal="left" vertical="top" wrapText="1"/>
    </xf>
    <xf numFmtId="0" fontId="7" fillId="5" borderId="0" xfId="0" applyFont="1" applyFill="1" applyAlignment="1"/>
    <xf numFmtId="0" fontId="0" fillId="5" borderId="0" xfId="0" applyFill="1" applyAlignment="1"/>
    <xf numFmtId="0" fontId="0" fillId="2" borderId="0" xfId="0" applyFill="1" applyAlignment="1"/>
    <xf numFmtId="0" fontId="2" fillId="2" borderId="0" xfId="3" applyFont="1" applyFill="1" applyAlignment="1">
      <alignment vertical="center" wrapText="1"/>
    </xf>
    <xf numFmtId="0" fontId="2" fillId="2" borderId="0" xfId="0" applyFont="1" applyFill="1" applyAlignment="1">
      <alignment horizontal="left" vertical="center"/>
    </xf>
    <xf numFmtId="0" fontId="0" fillId="2" borderId="0" xfId="3" applyFont="1" applyFill="1" applyAlignment="1">
      <alignment vertical="center" wrapText="1"/>
    </xf>
    <xf numFmtId="0" fontId="0" fillId="6" borderId="1" xfId="0" applyFill="1" applyBorder="1" applyAlignment="1">
      <alignment vertical="center"/>
    </xf>
    <xf numFmtId="0" fontId="0" fillId="5" borderId="0" xfId="0" applyFill="1" applyAlignment="1">
      <alignment vertical="center"/>
    </xf>
    <xf numFmtId="0" fontId="1" fillId="2" borderId="0" xfId="3" applyFill="1" applyAlignment="1">
      <alignment horizontal="center" vertical="center"/>
    </xf>
    <xf numFmtId="0" fontId="1" fillId="2" borderId="0" xfId="3" applyFill="1" applyAlignment="1">
      <alignment vertical="center"/>
    </xf>
    <xf numFmtId="0" fontId="0" fillId="2" borderId="1" xfId="0" applyFill="1" applyBorder="1" applyAlignment="1">
      <alignment horizontal="center" vertical="center"/>
    </xf>
    <xf numFmtId="0" fontId="8" fillId="5" borderId="1" xfId="2" applyFont="1" applyFill="1" applyBorder="1" applyAlignment="1">
      <alignment horizontal="center" vertical="center"/>
    </xf>
    <xf numFmtId="0" fontId="9" fillId="6" borderId="1" xfId="4" applyFill="1" applyBorder="1" applyAlignment="1">
      <alignment vertical="center"/>
    </xf>
    <xf numFmtId="0" fontId="0" fillId="2" borderId="1" xfId="0" applyFill="1" applyBorder="1" applyAlignment="1">
      <alignment horizontal="left" vertical="center" wrapText="1"/>
    </xf>
    <xf numFmtId="0" fontId="2" fillId="2" borderId="1" xfId="0" applyFont="1" applyFill="1" applyBorder="1" applyAlignment="1">
      <alignment horizontal="left" vertical="center" wrapText="1"/>
    </xf>
    <xf numFmtId="0" fontId="3" fillId="2" borderId="1" xfId="0" applyFont="1" applyFill="1" applyBorder="1" applyAlignment="1">
      <alignment horizontal="left" vertical="top" wrapText="1"/>
    </xf>
    <xf numFmtId="0" fontId="0" fillId="0" borderId="0" xfId="3" applyFont="1" applyAlignment="1">
      <alignment vertical="center" wrapText="1"/>
    </xf>
    <xf numFmtId="0" fontId="0" fillId="0" borderId="0" xfId="0" applyAlignment="1"/>
    <xf numFmtId="0" fontId="0" fillId="0" borderId="0" xfId="0" applyAlignment="1">
      <alignment vertical="center"/>
    </xf>
    <xf numFmtId="0" fontId="12" fillId="6" borderId="1" xfId="4" applyFont="1" applyFill="1" applyBorder="1" applyAlignment="1">
      <alignment vertical="center"/>
    </xf>
    <xf numFmtId="0" fontId="9" fillId="0" borderId="0" xfId="4" applyAlignment="1"/>
    <xf numFmtId="0" fontId="9" fillId="0" borderId="0" xfId="4" applyAlignment="1">
      <alignment vertical="center"/>
    </xf>
    <xf numFmtId="0" fontId="8" fillId="5" borderId="1" xfId="2" applyFont="1" applyFill="1" applyBorder="1" applyAlignment="1">
      <alignment horizontal="center" vertical="center" wrapText="1"/>
    </xf>
    <xf numFmtId="0" fontId="0" fillId="2" borderId="0" xfId="3" applyFont="1" applyFill="1" applyAlignment="1">
      <alignment vertical="center"/>
    </xf>
    <xf numFmtId="0" fontId="0" fillId="2" borderId="1" xfId="0" quotePrefix="1" applyFill="1" applyBorder="1" applyAlignment="1">
      <alignment vertical="center" wrapText="1"/>
    </xf>
    <xf numFmtId="0" fontId="0" fillId="3" borderId="1" xfId="0" applyFill="1" applyBorder="1" applyAlignment="1" applyProtection="1">
      <alignment horizontal="center" vertical="center" wrapText="1"/>
      <protection locked="0"/>
    </xf>
    <xf numFmtId="0" fontId="0" fillId="3" borderId="1" xfId="0" applyFill="1" applyBorder="1" applyAlignment="1" applyProtection="1">
      <alignment vertical="top" wrapText="1"/>
      <protection locked="0"/>
    </xf>
    <xf numFmtId="0" fontId="14" fillId="2" borderId="1" xfId="0" applyFont="1" applyFill="1" applyBorder="1" applyAlignment="1">
      <alignment horizontal="center" vertical="center" wrapText="1"/>
    </xf>
    <xf numFmtId="0" fontId="0" fillId="2" borderId="1" xfId="0" applyFill="1" applyBorder="1" applyAlignment="1">
      <alignment vertical="center" wrapText="1"/>
    </xf>
    <xf numFmtId="0" fontId="15" fillId="3" borderId="1" xfId="0" applyFont="1" applyFill="1" applyBorder="1" applyAlignment="1" applyProtection="1">
      <alignment vertical="top" wrapText="1"/>
      <protection locked="0"/>
    </xf>
    <xf numFmtId="0" fontId="16" fillId="2" borderId="1" xfId="0" applyFont="1" applyFill="1" applyBorder="1" applyAlignment="1">
      <alignment horizontal="center" vertical="center" wrapText="1"/>
    </xf>
    <xf numFmtId="0" fontId="0" fillId="2" borderId="1" xfId="0" quotePrefix="1" applyFill="1" applyBorder="1" applyAlignment="1">
      <alignment horizontal="left" vertical="center" wrapText="1"/>
    </xf>
    <xf numFmtId="0" fontId="18" fillId="0" borderId="1" xfId="5" applyFont="1" applyFill="1" applyBorder="1" applyAlignment="1">
      <alignment vertical="center" wrapText="1"/>
    </xf>
    <xf numFmtId="0" fontId="1" fillId="0" borderId="1" xfId="0" applyFont="1" applyBorder="1" applyAlignment="1">
      <alignment vertical="top" wrapText="1"/>
    </xf>
    <xf numFmtId="0" fontId="18" fillId="0" borderId="1" xfId="5" applyFont="1" applyFill="1" applyBorder="1" applyAlignment="1">
      <alignment vertical="top" wrapText="1"/>
    </xf>
    <xf numFmtId="0" fontId="20" fillId="11" borderId="1" xfId="3" applyFont="1" applyFill="1" applyBorder="1" applyAlignment="1">
      <alignment horizontal="center"/>
    </xf>
    <xf numFmtId="49" fontId="20" fillId="11" borderId="1" xfId="3" applyNumberFormat="1" applyFont="1" applyFill="1" applyBorder="1" applyAlignment="1">
      <alignment horizontal="center"/>
    </xf>
    <xf numFmtId="14" fontId="1" fillId="0" borderId="1" xfId="3" applyNumberFormat="1" applyBorder="1" applyAlignment="1">
      <alignment horizontal="center" vertical="center"/>
    </xf>
    <xf numFmtId="0" fontId="1" fillId="0" borderId="1" xfId="3" applyBorder="1" applyAlignment="1">
      <alignment horizontal="left" vertical="top"/>
    </xf>
    <xf numFmtId="0" fontId="0" fillId="0" borderId="1" xfId="0" applyBorder="1" applyAlignment="1"/>
    <xf numFmtId="49" fontId="1" fillId="0" borderId="1" xfId="3" applyNumberFormat="1" applyBorder="1" applyAlignment="1">
      <alignment horizontal="center" vertical="center"/>
    </xf>
    <xf numFmtId="0" fontId="1" fillId="0" borderId="1" xfId="3" applyBorder="1" applyAlignment="1">
      <alignment horizontal="center" vertical="center"/>
    </xf>
    <xf numFmtId="0" fontId="8" fillId="0" borderId="0" xfId="0" applyFont="1" applyAlignment="1">
      <alignment horizontal="center" vertical="center"/>
    </xf>
    <xf numFmtId="0" fontId="8" fillId="11" borderId="1" xfId="0" applyFont="1" applyFill="1" applyBorder="1" applyAlignment="1">
      <alignment horizontal="center" vertical="center"/>
    </xf>
    <xf numFmtId="0" fontId="8" fillId="11" borderId="1" xfId="0" applyFont="1" applyFill="1" applyBorder="1" applyAlignment="1">
      <alignment horizontal="center" vertical="center" wrapText="1"/>
    </xf>
    <xf numFmtId="0" fontId="21" fillId="0" borderId="1" xfId="0" applyFont="1" applyBorder="1" applyAlignment="1">
      <alignment vertical="center" wrapText="1"/>
    </xf>
    <xf numFmtId="0" fontId="21" fillId="0" borderId="1" xfId="0" applyFont="1" applyBorder="1" applyAlignment="1">
      <alignment horizontal="center" vertical="center" wrapText="1"/>
    </xf>
    <xf numFmtId="0" fontId="22" fillId="0" borderId="1" xfId="0" quotePrefix="1" applyFont="1" applyBorder="1" applyAlignment="1">
      <alignment horizontal="center" vertical="center"/>
    </xf>
    <xf numFmtId="14" fontId="22" fillId="0" borderId="1" xfId="0" applyNumberFormat="1" applyFont="1" applyBorder="1" applyAlignment="1">
      <alignment horizontal="center" vertical="center"/>
    </xf>
    <xf numFmtId="0" fontId="22" fillId="0" borderId="1" xfId="0" applyFont="1" applyBorder="1" applyAlignment="1">
      <alignment horizontal="center" vertical="center" wrapText="1"/>
    </xf>
    <xf numFmtId="0" fontId="22" fillId="0" borderId="1" xfId="0" applyFont="1" applyBorder="1" applyAlignment="1">
      <alignment horizontal="center" vertical="center"/>
    </xf>
    <xf numFmtId="0" fontId="0" fillId="0" borderId="19" xfId="0" quotePrefix="1" applyBorder="1" applyAlignment="1">
      <alignment horizontal="center" vertical="center"/>
    </xf>
    <xf numFmtId="0" fontId="0" fillId="0" borderId="1" xfId="0" quotePrefix="1" applyBorder="1" applyAlignment="1">
      <alignment vertical="center"/>
    </xf>
    <xf numFmtId="0" fontId="0" fillId="0" borderId="1" xfId="0" applyBorder="1" applyAlignment="1">
      <alignment vertical="center"/>
    </xf>
    <xf numFmtId="0" fontId="21" fillId="0" borderId="1" xfId="0" applyFont="1" applyBorder="1" applyAlignment="1">
      <alignment horizontal="center" vertical="center"/>
    </xf>
    <xf numFmtId="0" fontId="21" fillId="0" borderId="1" xfId="0" applyFont="1" applyBorder="1" applyAlignment="1">
      <alignment horizontal="left" vertical="center"/>
    </xf>
    <xf numFmtId="0" fontId="22" fillId="0" borderId="1" xfId="0" applyFont="1" applyBorder="1" applyAlignment="1">
      <alignment horizontal="left" vertical="center" wrapText="1"/>
    </xf>
    <xf numFmtId="0" fontId="0" fillId="0" borderId="1" xfId="0" quotePrefix="1" applyBorder="1" applyAlignment="1">
      <alignment horizontal="left" vertical="center"/>
    </xf>
    <xf numFmtId="0" fontId="8" fillId="10" borderId="17" xfId="0" applyFont="1" applyFill="1" applyBorder="1" applyAlignment="1">
      <alignment horizontal="center"/>
    </xf>
    <xf numFmtId="0" fontId="8" fillId="10" borderId="18" xfId="0" applyFont="1" applyFill="1" applyBorder="1" applyAlignment="1">
      <alignment horizontal="center"/>
    </xf>
    <xf numFmtId="0" fontId="19" fillId="6" borderId="17" xfId="3" applyFont="1" applyFill="1" applyBorder="1" applyAlignment="1">
      <alignment horizontal="center"/>
    </xf>
    <xf numFmtId="0" fontId="19" fillId="6" borderId="18" xfId="3" applyFont="1" applyFill="1" applyBorder="1" applyAlignment="1">
      <alignment horizontal="center"/>
    </xf>
    <xf numFmtId="0" fontId="19" fillId="6" borderId="19" xfId="3" applyFont="1" applyFill="1" applyBorder="1" applyAlignment="1">
      <alignment horizontal="center"/>
    </xf>
    <xf numFmtId="0" fontId="10" fillId="8" borderId="13" xfId="0" applyFont="1" applyFill="1" applyBorder="1" applyAlignment="1">
      <alignment horizontal="center" vertical="center" wrapText="1"/>
    </xf>
    <xf numFmtId="0" fontId="10" fillId="8" borderId="14" xfId="0" applyFont="1" applyFill="1" applyBorder="1" applyAlignment="1">
      <alignment horizontal="center" vertical="center" wrapText="1"/>
    </xf>
    <xf numFmtId="0" fontId="10" fillId="8" borderId="15" xfId="0" applyFont="1" applyFill="1" applyBorder="1" applyAlignment="1">
      <alignment horizontal="center" vertical="center" wrapText="1"/>
    </xf>
    <xf numFmtId="0" fontId="10" fillId="8" borderId="0" xfId="0" applyFont="1" applyFill="1" applyAlignment="1">
      <alignment horizontal="center" vertical="center" wrapText="1"/>
    </xf>
    <xf numFmtId="0" fontId="3" fillId="2" borderId="10"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3" fillId="2" borderId="7" xfId="0" applyFont="1" applyFill="1" applyBorder="1" applyAlignment="1">
      <alignment horizontal="left" vertical="center" wrapText="1"/>
    </xf>
    <xf numFmtId="0" fontId="3" fillId="2" borderId="8" xfId="0" applyFont="1" applyFill="1" applyBorder="1" applyAlignment="1">
      <alignment horizontal="left" vertical="center" wrapText="1"/>
    </xf>
    <xf numFmtId="0" fontId="11" fillId="7" borderId="16" xfId="0" applyFont="1" applyFill="1" applyBorder="1" applyAlignment="1">
      <alignment horizontal="left" vertical="top" wrapText="1"/>
    </xf>
  </cellXfs>
  <cellStyles count="6">
    <cellStyle name="Bad" xfId="2" builtinId="27"/>
    <cellStyle name="Good" xfId="5" builtinId="26"/>
    <cellStyle name="Hyperlink" xfId="4" builtinId="8"/>
    <cellStyle name="Normal" xfId="0" builtinId="0"/>
    <cellStyle name="Normal 2" xfId="3" xr:uid="{00000000-0005-0000-0000-000003000000}"/>
    <cellStyle name="Percent" xfId="1" builtinId="5"/>
  </cellStyles>
  <dxfs count="6">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685801</xdr:colOff>
      <xdr:row>0</xdr:row>
      <xdr:rowOff>0</xdr:rowOff>
    </xdr:from>
    <xdr:to>
      <xdr:col>3</xdr:col>
      <xdr:colOff>11027</xdr:colOff>
      <xdr:row>8</xdr:row>
      <xdr:rowOff>95346</xdr:rowOff>
    </xdr:to>
    <xdr:pic>
      <xdr:nvPicPr>
        <xdr:cNvPr id="2" name="Picture 4">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81301" y="0"/>
          <a:ext cx="9945601" cy="15240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1093731</xdr:colOff>
      <xdr:row>8</xdr:row>
      <xdr:rowOff>94050</xdr:rowOff>
    </xdr:to>
    <xdr:pic>
      <xdr:nvPicPr>
        <xdr:cNvPr id="3" name="Picture 9">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3760731" cy="1608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485775</xdr:colOff>
      <xdr:row>0</xdr:row>
      <xdr:rowOff>19050</xdr:rowOff>
    </xdr:from>
    <xdr:to>
      <xdr:col>2</xdr:col>
      <xdr:colOff>1609725</xdr:colOff>
      <xdr:row>7</xdr:row>
      <xdr:rowOff>95250</xdr:rowOff>
    </xdr:to>
    <xdr:sp macro="" textlink="">
      <xdr:nvSpPr>
        <xdr:cNvPr id="4" name="TextBox 10">
          <a:extLst>
            <a:ext uri="{FF2B5EF4-FFF2-40B4-BE49-F238E27FC236}">
              <a16:creationId xmlns:a16="http://schemas.microsoft.com/office/drawing/2014/main" id="{00000000-0008-0000-0000-000004000000}"/>
            </a:ext>
          </a:extLst>
        </xdr:cNvPr>
        <xdr:cNvSpPr txBox="1"/>
      </xdr:nvSpPr>
      <xdr:spPr>
        <a:xfrm>
          <a:off x="485775" y="19050"/>
          <a:ext cx="9772650" cy="160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solidFill>
                <a:schemeClr val="bg1"/>
              </a:solidFill>
            </a:rPr>
            <a:t>Product</a:t>
          </a:r>
          <a:r>
            <a:rPr lang="en-US" sz="2800" baseline="0">
              <a:solidFill>
                <a:schemeClr val="bg1"/>
              </a:solidFill>
            </a:rPr>
            <a:t> Security - Activity 1</a:t>
          </a:r>
          <a:endParaRPr lang="en-US" sz="2800">
            <a:solidFill>
              <a:schemeClr val="bg1"/>
            </a:solidFill>
          </a:endParaRPr>
        </a:p>
        <a:p>
          <a:pPr algn="ctr"/>
          <a:r>
            <a:rPr lang="en-US" sz="4400">
              <a:solidFill>
                <a:schemeClr val="bg1"/>
              </a:solidFill>
            </a:rPr>
            <a:t>Security Relevance</a:t>
          </a:r>
          <a:r>
            <a:rPr lang="en-US" sz="4400" baseline="0">
              <a:solidFill>
                <a:schemeClr val="bg1"/>
              </a:solidFill>
            </a:rPr>
            <a:t> Assessment</a:t>
          </a:r>
        </a:p>
      </xdr:txBody>
    </xdr:sp>
    <xdr:clientData/>
  </xdr:twoCellAnchor>
  <xdr:oneCellAnchor>
    <xdr:from>
      <xdr:col>2</xdr:col>
      <xdr:colOff>314325</xdr:colOff>
      <xdr:row>13</xdr:row>
      <xdr:rowOff>228600</xdr:rowOff>
    </xdr:from>
    <xdr:ext cx="1847850" cy="7874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9048750" y="2486025"/>
          <a:ext cx="1847850" cy="787400"/>
        </a:xfrm>
        <a:prstGeom prst="rect">
          <a:avLst/>
        </a:prstGeom>
        <a:no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ysClr val="windowText" lastClr="000000"/>
              </a:solidFill>
            </a:rPr>
            <a:t>Make sure the Metadata</a:t>
          </a:r>
          <a:r>
            <a:rPr lang="en-US" sz="1100" b="1" baseline="0">
              <a:solidFill>
                <a:sysClr val="windowText" lastClr="000000"/>
              </a:solidFill>
            </a:rPr>
            <a:t> does not contain any of the following characters: </a:t>
          </a:r>
          <a:endParaRPr lang="en-US" sz="1100" baseline="0"/>
        </a:p>
        <a:p>
          <a:pPr algn="l"/>
          <a:r>
            <a:rPr lang="en-US" sz="1100" baseline="0"/>
            <a:t>&lt;  &gt;   :   ?   "   [  ]   |   \  /   *</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8"/>
  </sheetPr>
  <dimension ref="A1:I23"/>
  <sheetViews>
    <sheetView zoomScale="85" zoomScaleNormal="85" zoomScaleSheetLayoutView="85" workbookViewId="0">
      <selection activeCell="I7" sqref="I7"/>
    </sheetView>
  </sheetViews>
  <sheetFormatPr defaultColWidth="9.1796875" defaultRowHeight="12.5" x14ac:dyDescent="0.25"/>
  <cols>
    <col min="1" max="1" width="16.81640625" style="29" bestFit="1" customWidth="1"/>
    <col min="2" max="2" width="10.1796875" style="29" bestFit="1" customWidth="1"/>
    <col min="3" max="3" width="44" style="29" customWidth="1"/>
    <col min="4" max="4" width="34.453125" style="29" customWidth="1"/>
    <col min="5" max="5" width="12.81640625" style="29" customWidth="1"/>
    <col min="6" max="6" width="26.90625" style="29" bestFit="1" customWidth="1"/>
    <col min="7" max="7" width="12.81640625" style="29" customWidth="1"/>
    <col min="8" max="8" width="30" style="29" customWidth="1"/>
    <col min="9" max="9" width="13.1796875" style="29" customWidth="1"/>
    <col min="10" max="16384" width="9.1796875" style="29"/>
  </cols>
  <sheetData>
    <row r="1" spans="1:9" ht="13" x14ac:dyDescent="0.3">
      <c r="A1" s="70" t="s">
        <v>45</v>
      </c>
      <c r="B1" s="71"/>
      <c r="C1" s="71"/>
      <c r="D1" s="71"/>
      <c r="E1" s="71"/>
      <c r="F1" s="71"/>
      <c r="G1" s="71"/>
      <c r="H1" s="71"/>
      <c r="I1" s="71"/>
    </row>
    <row r="2" spans="1:9" ht="13" x14ac:dyDescent="0.25">
      <c r="A2" s="55" t="s">
        <v>46</v>
      </c>
      <c r="B2" s="55" t="s">
        <v>47</v>
      </c>
      <c r="C2" s="56" t="s">
        <v>48</v>
      </c>
      <c r="D2" s="55" t="s">
        <v>49</v>
      </c>
      <c r="E2" s="55" t="s">
        <v>25</v>
      </c>
      <c r="F2" s="55" t="s">
        <v>50</v>
      </c>
      <c r="G2" s="55" t="s">
        <v>51</v>
      </c>
      <c r="H2" s="55" t="s">
        <v>52</v>
      </c>
      <c r="I2" s="55" t="s">
        <v>53</v>
      </c>
    </row>
    <row r="3" spans="1:9" s="30" customFormat="1" ht="44" customHeight="1" x14ac:dyDescent="0.25">
      <c r="A3" s="63" t="s">
        <v>54</v>
      </c>
      <c r="B3" s="64" t="s">
        <v>55</v>
      </c>
      <c r="C3" s="66" t="s">
        <v>56</v>
      </c>
      <c r="D3" s="67" t="s">
        <v>57</v>
      </c>
      <c r="E3" s="62" t="s">
        <v>58</v>
      </c>
      <c r="F3" s="65"/>
      <c r="G3" s="65"/>
      <c r="H3" s="66" t="s">
        <v>56</v>
      </c>
      <c r="I3" s="69" t="s">
        <v>55</v>
      </c>
    </row>
    <row r="4" spans="1:9" s="30" customFormat="1" ht="44" customHeight="1" x14ac:dyDescent="0.25">
      <c r="A4" s="63" t="s">
        <v>59</v>
      </c>
      <c r="B4" s="64" t="s">
        <v>60</v>
      </c>
      <c r="C4" s="58" t="s">
        <v>61</v>
      </c>
      <c r="D4" s="57" t="s">
        <v>62</v>
      </c>
      <c r="E4" s="62" t="s">
        <v>58</v>
      </c>
      <c r="F4" s="65"/>
      <c r="G4" s="65"/>
      <c r="H4" s="58" t="s">
        <v>61</v>
      </c>
      <c r="I4" s="69" t="s">
        <v>60</v>
      </c>
    </row>
    <row r="5" spans="1:9" s="30" customFormat="1" ht="44" customHeight="1" x14ac:dyDescent="0.25">
      <c r="A5" s="63" t="s">
        <v>63</v>
      </c>
      <c r="B5" s="64" t="s">
        <v>64</v>
      </c>
      <c r="C5" s="58" t="s">
        <v>65</v>
      </c>
      <c r="D5" s="57" t="s">
        <v>66</v>
      </c>
      <c r="E5" s="62" t="s">
        <v>58</v>
      </c>
      <c r="F5" s="65"/>
      <c r="G5" s="65"/>
      <c r="H5" s="58" t="s">
        <v>65</v>
      </c>
      <c r="I5" s="69" t="s">
        <v>64</v>
      </c>
    </row>
    <row r="6" spans="1:9" s="30" customFormat="1" ht="38.25" customHeight="1" x14ac:dyDescent="0.25">
      <c r="A6" s="59" t="s">
        <v>67</v>
      </c>
      <c r="B6" s="64" t="s">
        <v>75</v>
      </c>
      <c r="C6" s="58" t="s">
        <v>68</v>
      </c>
      <c r="D6" s="68" t="s">
        <v>69</v>
      </c>
      <c r="E6" s="62" t="s">
        <v>58</v>
      </c>
      <c r="F6" s="61" t="s">
        <v>70</v>
      </c>
      <c r="G6" s="60">
        <v>45196</v>
      </c>
      <c r="H6" s="62" t="s">
        <v>68</v>
      </c>
      <c r="I6" s="69" t="s">
        <v>75</v>
      </c>
    </row>
    <row r="7" spans="1:9" s="30" customFormat="1" ht="20.149999999999999" customHeight="1" x14ac:dyDescent="0.25">
      <c r="A7" s="59" t="s">
        <v>77</v>
      </c>
      <c r="B7" s="64" t="s">
        <v>83</v>
      </c>
      <c r="C7" s="58" t="s">
        <v>78</v>
      </c>
      <c r="D7" s="68" t="s">
        <v>79</v>
      </c>
      <c r="E7" s="62" t="s">
        <v>58</v>
      </c>
      <c r="F7" s="61" t="s">
        <v>82</v>
      </c>
      <c r="G7" s="64" t="s">
        <v>83</v>
      </c>
      <c r="H7" s="58" t="s">
        <v>78</v>
      </c>
      <c r="I7" s="64" t="s">
        <v>85</v>
      </c>
    </row>
    <row r="8" spans="1:9" s="30" customFormat="1" ht="20.149999999999999" customHeight="1" x14ac:dyDescent="0.25">
      <c r="A8" s="54"/>
      <c r="B8" s="54"/>
      <c r="C8" s="54"/>
      <c r="D8" s="54"/>
      <c r="E8" s="54"/>
      <c r="F8" s="54"/>
      <c r="G8" s="54"/>
      <c r="H8" s="28"/>
      <c r="I8" s="28"/>
    </row>
    <row r="9" spans="1:9" x14ac:dyDescent="0.25">
      <c r="A9" s="28"/>
      <c r="B9" s="28"/>
      <c r="C9" s="28"/>
      <c r="D9" s="28"/>
      <c r="E9" s="28"/>
      <c r="F9" s="28"/>
      <c r="G9" s="28"/>
      <c r="H9" s="28"/>
      <c r="I9" s="28"/>
    </row>
    <row r="10" spans="1:9" ht="15.5" x14ac:dyDescent="0.35">
      <c r="A10" s="72" t="s">
        <v>71</v>
      </c>
      <c r="B10" s="73"/>
      <c r="C10" s="73"/>
      <c r="D10" s="73"/>
      <c r="E10" s="73"/>
      <c r="F10" s="73"/>
      <c r="G10" s="73"/>
      <c r="H10" s="73"/>
      <c r="I10" s="74"/>
    </row>
    <row r="11" spans="1:9" ht="13" x14ac:dyDescent="0.3">
      <c r="A11" s="47" t="s">
        <v>46</v>
      </c>
      <c r="B11" s="48" t="s">
        <v>47</v>
      </c>
      <c r="C11" s="47" t="s">
        <v>72</v>
      </c>
      <c r="D11" s="47" t="s">
        <v>49</v>
      </c>
      <c r="E11" s="47" t="s">
        <v>25</v>
      </c>
      <c r="F11" s="55" t="s">
        <v>50</v>
      </c>
      <c r="G11" s="55" t="s">
        <v>51</v>
      </c>
      <c r="H11" s="47" t="s">
        <v>73</v>
      </c>
      <c r="I11" s="47" t="s">
        <v>74</v>
      </c>
    </row>
    <row r="12" spans="1:9" x14ac:dyDescent="0.25">
      <c r="A12" s="49"/>
      <c r="B12" s="49"/>
      <c r="C12" s="50"/>
      <c r="D12" s="50"/>
      <c r="E12" s="50"/>
      <c r="F12" s="50"/>
      <c r="G12" s="50"/>
      <c r="H12" s="51"/>
      <c r="I12" s="51"/>
    </row>
    <row r="13" spans="1:9" x14ac:dyDescent="0.25">
      <c r="A13" s="49"/>
      <c r="B13" s="52"/>
      <c r="C13" s="50"/>
      <c r="D13" s="50"/>
      <c r="E13" s="50"/>
      <c r="F13" s="50"/>
      <c r="G13" s="50"/>
      <c r="H13" s="51"/>
      <c r="I13" s="51"/>
    </row>
    <row r="14" spans="1:9" x14ac:dyDescent="0.25">
      <c r="A14" s="53"/>
      <c r="B14" s="52"/>
      <c r="C14" s="50"/>
      <c r="D14" s="50"/>
      <c r="E14" s="50"/>
      <c r="F14" s="50"/>
      <c r="G14" s="50"/>
      <c r="H14" s="51"/>
      <c r="I14" s="51"/>
    </row>
    <row r="15" spans="1:9" x14ac:dyDescent="0.25">
      <c r="A15" s="53"/>
      <c r="B15" s="52"/>
      <c r="C15" s="50"/>
      <c r="D15" s="50"/>
      <c r="E15" s="50"/>
      <c r="F15" s="50"/>
      <c r="G15" s="50"/>
      <c r="H15" s="51"/>
      <c r="I15" s="51"/>
    </row>
    <row r="16" spans="1:9" x14ac:dyDescent="0.25">
      <c r="A16" s="53"/>
      <c r="B16" s="52"/>
      <c r="C16" s="50"/>
      <c r="D16" s="50"/>
      <c r="E16" s="50"/>
      <c r="F16" s="50"/>
      <c r="G16" s="50"/>
      <c r="H16" s="51"/>
      <c r="I16" s="51"/>
    </row>
    <row r="17" spans="1:9" x14ac:dyDescent="0.25">
      <c r="A17" s="53"/>
      <c r="B17" s="52"/>
      <c r="C17" s="50"/>
      <c r="D17" s="50"/>
      <c r="E17" s="50"/>
      <c r="F17" s="50"/>
      <c r="G17" s="50"/>
      <c r="H17" s="51"/>
      <c r="I17" s="51"/>
    </row>
    <row r="18" spans="1:9" x14ac:dyDescent="0.25">
      <c r="A18" s="53"/>
      <c r="B18" s="52"/>
      <c r="C18" s="50"/>
      <c r="D18" s="50"/>
      <c r="E18" s="50"/>
      <c r="F18" s="50"/>
      <c r="G18" s="50"/>
      <c r="H18" s="51"/>
      <c r="I18" s="51"/>
    </row>
    <row r="19" spans="1:9" x14ac:dyDescent="0.25">
      <c r="A19" s="53"/>
      <c r="B19" s="52"/>
      <c r="C19" s="50"/>
      <c r="D19" s="50"/>
      <c r="E19" s="50"/>
      <c r="F19" s="50"/>
      <c r="G19" s="50"/>
      <c r="H19" s="51"/>
      <c r="I19" s="51"/>
    </row>
    <row r="20" spans="1:9" x14ac:dyDescent="0.25">
      <c r="A20" s="53"/>
      <c r="B20" s="52"/>
      <c r="C20" s="50"/>
      <c r="D20" s="50"/>
      <c r="E20" s="50"/>
      <c r="F20" s="50"/>
      <c r="G20" s="50"/>
      <c r="H20" s="51"/>
      <c r="I20" s="51"/>
    </row>
    <row r="21" spans="1:9" x14ac:dyDescent="0.25">
      <c r="A21" s="53"/>
      <c r="B21" s="52"/>
      <c r="C21" s="50"/>
      <c r="D21" s="50"/>
      <c r="E21" s="50"/>
      <c r="F21" s="50"/>
      <c r="G21" s="50"/>
      <c r="H21" s="51"/>
      <c r="I21" s="51"/>
    </row>
    <row r="22" spans="1:9" x14ac:dyDescent="0.25">
      <c r="A22" s="53"/>
      <c r="B22" s="52"/>
      <c r="C22" s="50"/>
      <c r="D22" s="50"/>
      <c r="E22" s="50"/>
      <c r="F22" s="50"/>
      <c r="G22" s="50"/>
      <c r="H22" s="51"/>
      <c r="I22" s="51"/>
    </row>
    <row r="23" spans="1:9" x14ac:dyDescent="0.25">
      <c r="A23" s="28"/>
      <c r="B23" s="28"/>
      <c r="C23" s="28"/>
      <c r="D23" s="28"/>
      <c r="E23" s="28"/>
      <c r="F23" s="28"/>
      <c r="G23" s="28"/>
      <c r="H23" s="28"/>
      <c r="I23" s="28"/>
    </row>
  </sheetData>
  <mergeCells count="2">
    <mergeCell ref="A1:I1"/>
    <mergeCell ref="A10:I10"/>
  </mergeCells>
  <phoneticPr fontId="23" type="noConversion"/>
  <pageMargins left="0.7" right="0.7" top="0.78740157499999996" bottom="0.78740157499999996" header="0.3" footer="0.3"/>
  <pageSetup paperSize="9" scale="45" orientation="portrait" r:id="rId1"/>
  <headerFooter>
    <oddHeader>&amp;C&amp;"Bosch Office Sans,Bold"&amp;14Management System Template&amp;R&amp;P of &amp;N</oddHeader>
    <oddFooter>&amp;C&amp;"Bosch Office Sans,Regular"&amp;8© This is the exclusive property of Bosch Global Software Technologies Private Limited. Without their consent, it may not be reproduced or given to third parties. 
 27/09/2023&amp;R&amp;"Bosch Office Sans,Regular"&amp;8Internal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9"/>
  <sheetViews>
    <sheetView zoomScale="80" zoomScaleNormal="80" zoomScaleSheetLayoutView="100" workbookViewId="0">
      <selection activeCell="A20" sqref="A20"/>
    </sheetView>
  </sheetViews>
  <sheetFormatPr defaultColWidth="9.1796875" defaultRowHeight="12.5" x14ac:dyDescent="0.25"/>
  <cols>
    <col min="1" max="1" width="40" style="13" customWidth="1"/>
    <col min="2" max="2" width="91" style="13" customWidth="1"/>
    <col min="3" max="3" width="38" style="13" customWidth="1"/>
    <col min="4" max="4" width="16" style="13" customWidth="1"/>
    <col min="5" max="16384" width="9.1796875" style="13"/>
  </cols>
  <sheetData>
    <row r="1" spans="1:23" ht="29.5" x14ac:dyDescent="0.55000000000000004">
      <c r="A1" s="12"/>
    </row>
    <row r="8" spans="1:23" x14ac:dyDescent="0.25">
      <c r="A8" s="14"/>
      <c r="B8" s="14"/>
      <c r="C8" s="14"/>
      <c r="D8" s="19"/>
      <c r="E8" s="19"/>
      <c r="F8" s="19"/>
      <c r="G8" s="19"/>
      <c r="H8" s="19"/>
      <c r="I8" s="19"/>
      <c r="J8" s="19"/>
      <c r="K8" s="19"/>
      <c r="L8" s="19"/>
      <c r="M8" s="19"/>
      <c r="N8" s="19"/>
      <c r="O8" s="19"/>
      <c r="P8" s="19"/>
      <c r="Q8" s="19"/>
      <c r="R8" s="19"/>
      <c r="S8" s="19"/>
      <c r="T8" s="19"/>
      <c r="U8" s="19"/>
      <c r="V8" s="19"/>
      <c r="W8" s="19"/>
    </row>
    <row r="9" spans="1:23" x14ac:dyDescent="0.25">
      <c r="A9" s="14"/>
      <c r="B9" s="14"/>
      <c r="C9" s="14"/>
      <c r="D9" s="19"/>
      <c r="E9" s="19"/>
      <c r="F9" s="19"/>
      <c r="G9" s="19"/>
      <c r="H9" s="19"/>
      <c r="I9" s="19"/>
      <c r="J9" s="19"/>
      <c r="K9" s="19"/>
      <c r="L9" s="19"/>
      <c r="M9" s="19"/>
      <c r="N9" s="19"/>
      <c r="O9" s="19"/>
      <c r="P9" s="19"/>
      <c r="Q9" s="19"/>
      <c r="R9" s="19"/>
      <c r="S9" s="19"/>
      <c r="T9" s="19"/>
      <c r="U9" s="19"/>
      <c r="V9" s="19"/>
      <c r="W9" s="19"/>
    </row>
    <row r="10" spans="1:23" x14ac:dyDescent="0.25">
      <c r="A10" s="14"/>
      <c r="B10" s="14"/>
      <c r="C10" s="14"/>
      <c r="D10" s="19"/>
      <c r="E10" s="19"/>
      <c r="F10" s="19"/>
      <c r="G10" s="19"/>
      <c r="H10" s="19"/>
      <c r="I10" s="19"/>
      <c r="J10" s="19"/>
      <c r="K10" s="19"/>
      <c r="L10" s="19"/>
      <c r="M10" s="19"/>
      <c r="N10" s="19"/>
      <c r="O10" s="19"/>
      <c r="P10" s="19"/>
      <c r="Q10" s="19"/>
      <c r="R10" s="19"/>
      <c r="S10" s="19"/>
      <c r="T10" s="19"/>
      <c r="U10" s="19"/>
      <c r="V10" s="19"/>
      <c r="W10" s="19"/>
    </row>
    <row r="11" spans="1:23" x14ac:dyDescent="0.25">
      <c r="A11" s="15" t="s">
        <v>0</v>
      </c>
      <c r="B11" s="15"/>
      <c r="C11" s="16"/>
      <c r="D11" s="19"/>
      <c r="E11" s="19"/>
      <c r="F11" s="19"/>
      <c r="G11" s="19"/>
      <c r="H11" s="19"/>
      <c r="I11" s="19"/>
      <c r="J11" s="19"/>
      <c r="K11" s="19"/>
      <c r="L11" s="19"/>
      <c r="M11" s="19"/>
      <c r="N11" s="19"/>
      <c r="O11" s="19"/>
      <c r="P11" s="19"/>
      <c r="Q11" s="19"/>
      <c r="R11" s="19"/>
      <c r="S11" s="19"/>
      <c r="T11" s="19"/>
      <c r="U11" s="19"/>
      <c r="V11" s="19"/>
      <c r="W11" s="19"/>
    </row>
    <row r="12" spans="1:23" x14ac:dyDescent="0.25">
      <c r="A12" s="17" t="s">
        <v>1</v>
      </c>
      <c r="B12" s="15"/>
      <c r="C12" s="16"/>
      <c r="D12" s="19"/>
      <c r="E12" s="19"/>
      <c r="F12" s="19"/>
      <c r="G12" s="19"/>
      <c r="H12" s="19"/>
      <c r="I12" s="19"/>
      <c r="J12" s="19"/>
      <c r="K12" s="19"/>
      <c r="L12" s="19"/>
      <c r="M12" s="19"/>
      <c r="N12" s="19"/>
      <c r="O12" s="19"/>
      <c r="P12" s="19"/>
      <c r="Q12" s="19"/>
      <c r="R12" s="19"/>
      <c r="S12" s="19"/>
      <c r="T12" s="19"/>
      <c r="U12" s="19"/>
      <c r="V12" s="19"/>
      <c r="W12" s="19"/>
    </row>
    <row r="13" spans="1:23" s="19" customFormat="1" ht="20.149999999999999" customHeight="1" x14ac:dyDescent="0.25">
      <c r="A13" s="18" t="s">
        <v>2</v>
      </c>
      <c r="B13" s="22" t="s">
        <v>3</v>
      </c>
      <c r="C13" s="16"/>
    </row>
    <row r="14" spans="1:23" s="19" customFormat="1" ht="20.149999999999999" customHeight="1" x14ac:dyDescent="0.25">
      <c r="A14" s="18" t="s">
        <v>4</v>
      </c>
      <c r="B14" s="22" t="s">
        <v>5</v>
      </c>
      <c r="C14" s="16"/>
    </row>
    <row r="15" spans="1:23" s="19" customFormat="1" ht="20.149999999999999" customHeight="1" x14ac:dyDescent="0.25">
      <c r="A15" s="18" t="s">
        <v>6</v>
      </c>
      <c r="B15" s="22" t="s">
        <v>76</v>
      </c>
      <c r="C15" s="16"/>
    </row>
    <row r="16" spans="1:23" s="19" customFormat="1" ht="20.149999999999999" customHeight="1" x14ac:dyDescent="0.25">
      <c r="A16" s="18" t="s">
        <v>7</v>
      </c>
      <c r="B16" s="22" t="s">
        <v>8</v>
      </c>
      <c r="C16" s="16"/>
    </row>
    <row r="17" spans="1:23" s="19" customFormat="1" ht="20.149999999999999" customHeight="1" x14ac:dyDescent="0.25">
      <c r="A17" s="18" t="s">
        <v>9</v>
      </c>
      <c r="B17" s="22" t="s">
        <v>10</v>
      </c>
      <c r="C17" s="16"/>
    </row>
    <row r="18" spans="1:23" x14ac:dyDescent="0.25">
      <c r="A18" s="14"/>
      <c r="B18" s="14"/>
      <c r="C18" s="14"/>
      <c r="D18" s="19"/>
      <c r="E18" s="19"/>
      <c r="F18" s="19"/>
      <c r="G18" s="19"/>
      <c r="H18" s="19"/>
      <c r="I18" s="19"/>
      <c r="J18" s="19"/>
      <c r="K18" s="19"/>
      <c r="L18" s="19"/>
      <c r="M18" s="19"/>
      <c r="N18" s="19"/>
      <c r="O18" s="19"/>
      <c r="P18" s="19"/>
      <c r="Q18" s="19"/>
      <c r="R18" s="19"/>
      <c r="S18" s="19"/>
      <c r="T18" s="19"/>
      <c r="U18" s="19"/>
      <c r="V18" s="19"/>
      <c r="W18" s="19"/>
    </row>
    <row r="19" spans="1:23" x14ac:dyDescent="0.25">
      <c r="A19" s="15" t="s">
        <v>11</v>
      </c>
      <c r="B19" s="15"/>
      <c r="C19" s="16"/>
      <c r="D19" s="19"/>
      <c r="E19" s="19"/>
      <c r="F19" s="19"/>
      <c r="G19" s="19"/>
      <c r="H19" s="19"/>
      <c r="I19" s="19"/>
      <c r="J19" s="19"/>
      <c r="K19" s="19"/>
      <c r="L19" s="19"/>
      <c r="M19" s="19"/>
      <c r="N19" s="19"/>
      <c r="O19" s="19"/>
      <c r="P19" s="19"/>
      <c r="Q19" s="19"/>
      <c r="R19" s="19"/>
      <c r="S19" s="19"/>
      <c r="T19" s="19"/>
      <c r="U19" s="19"/>
      <c r="V19" s="19"/>
      <c r="W19" s="19"/>
    </row>
    <row r="20" spans="1:23" x14ac:dyDescent="0.25">
      <c r="A20" s="35" t="s">
        <v>80</v>
      </c>
      <c r="B20" s="15"/>
      <c r="C20" s="16"/>
      <c r="D20" s="19"/>
      <c r="E20" s="19"/>
      <c r="F20" s="19"/>
      <c r="G20" s="19"/>
      <c r="H20" s="19"/>
      <c r="I20" s="19"/>
      <c r="J20" s="19"/>
      <c r="K20" s="19"/>
      <c r="L20" s="19"/>
      <c r="M20" s="19"/>
      <c r="N20" s="19"/>
      <c r="O20" s="19"/>
      <c r="P20" s="19"/>
      <c r="Q20" s="19"/>
      <c r="R20" s="19"/>
      <c r="S20" s="19"/>
      <c r="T20" s="19"/>
      <c r="U20" s="19"/>
      <c r="V20" s="19"/>
      <c r="W20" s="19"/>
    </row>
    <row r="21" spans="1:23" s="19" customFormat="1" ht="35.25" customHeight="1" x14ac:dyDescent="0.25">
      <c r="A21" s="18" t="s">
        <v>12</v>
      </c>
      <c r="B21" s="34" t="str">
        <f>IF(Assessment!E18=1,"The product is not information security relevant, please get approval from your Project Sponsor.",IF(Assessment!E18=-1,"The product is information security relevant! 
Please, nominate a PSecM and continue with the Security Engineering Process","Assessment Result Pending"))</f>
        <v>Assessment Result Pending</v>
      </c>
      <c r="C21" s="24"/>
    </row>
    <row r="22" spans="1:23" s="19" customFormat="1" ht="20.149999999999999" customHeight="1" x14ac:dyDescent="0.25">
      <c r="A22" s="18" t="s">
        <v>13</v>
      </c>
      <c r="B22" s="23" t="str">
        <f>IF(Assessment!E19=1,"The product is not data protection relevant.",IF(Assessment!E19=-1,"The product is data protection relevant, perform Data Protection Checklist!","Assessment Result Pending"))</f>
        <v>The product is data protection relevant, perform Data Protection Checklist!</v>
      </c>
      <c r="C22" s="31"/>
    </row>
    <row r="23" spans="1:23" s="19" customFormat="1" ht="31.5" customHeight="1" x14ac:dyDescent="0.25">
      <c r="A23" s="18" t="s">
        <v>14</v>
      </c>
      <c r="B23" s="23"/>
      <c r="C23" s="31"/>
    </row>
    <row r="24" spans="1:23" x14ac:dyDescent="0.25">
      <c r="A24" s="20"/>
      <c r="B24" s="21"/>
      <c r="C24" s="20"/>
      <c r="D24" s="19"/>
      <c r="E24" s="19"/>
      <c r="F24" s="19"/>
      <c r="G24" s="19"/>
      <c r="H24" s="19"/>
      <c r="I24" s="19"/>
      <c r="J24" s="19"/>
      <c r="K24" s="19"/>
      <c r="L24" s="19"/>
      <c r="M24" s="19"/>
      <c r="N24" s="19"/>
      <c r="O24" s="19"/>
      <c r="P24" s="19"/>
      <c r="Q24" s="19"/>
      <c r="R24" s="19"/>
      <c r="S24" s="19"/>
      <c r="T24" s="19"/>
      <c r="U24" s="19"/>
      <c r="V24" s="19"/>
      <c r="W24" s="19"/>
    </row>
    <row r="25" spans="1:23" x14ac:dyDescent="0.25">
      <c r="A25" s="15" t="s">
        <v>15</v>
      </c>
      <c r="B25" s="15"/>
      <c r="C25" s="16"/>
      <c r="D25" s="19"/>
      <c r="E25" s="19"/>
      <c r="F25" s="19"/>
      <c r="G25" s="19"/>
      <c r="H25" s="19"/>
      <c r="I25" s="19"/>
      <c r="J25" s="19"/>
      <c r="K25" s="19"/>
      <c r="L25" s="19"/>
      <c r="M25" s="19"/>
      <c r="N25" s="19"/>
      <c r="O25" s="19"/>
      <c r="P25" s="19"/>
      <c r="Q25" s="19"/>
      <c r="R25" s="19"/>
      <c r="S25" s="19"/>
      <c r="T25" s="19"/>
      <c r="U25" s="19"/>
      <c r="V25" s="19"/>
      <c r="W25" s="19"/>
    </row>
    <row r="26" spans="1:23" x14ac:dyDescent="0.25">
      <c r="A26" s="17" t="s">
        <v>16</v>
      </c>
      <c r="B26" s="15"/>
      <c r="C26" s="16"/>
      <c r="D26" s="19"/>
      <c r="E26" s="19"/>
      <c r="F26" s="19"/>
      <c r="G26" s="19"/>
      <c r="H26" s="19"/>
      <c r="I26" s="19"/>
      <c r="J26" s="19"/>
      <c r="K26" s="19"/>
      <c r="L26" s="19"/>
      <c r="M26" s="19"/>
      <c r="N26" s="19"/>
      <c r="O26" s="19"/>
      <c r="P26" s="19"/>
      <c r="Q26" s="19"/>
      <c r="R26" s="19"/>
      <c r="S26" s="19"/>
      <c r="T26" s="19"/>
      <c r="U26" s="19"/>
      <c r="V26" s="19"/>
      <c r="W26" s="19"/>
    </row>
    <row r="27" spans="1:23" s="19" customFormat="1" ht="37.5" x14ac:dyDescent="0.25">
      <c r="A27" s="18" t="s">
        <v>17</v>
      </c>
      <c r="B27" s="25" t="s">
        <v>18</v>
      </c>
      <c r="C27" s="24"/>
    </row>
    <row r="28" spans="1:23" s="19" customFormat="1" ht="37.5" x14ac:dyDescent="0.25">
      <c r="A28" s="18" t="s">
        <v>19</v>
      </c>
      <c r="B28" s="26" t="s">
        <v>20</v>
      </c>
      <c r="C28" s="24"/>
    </row>
    <row r="29" spans="1:23" x14ac:dyDescent="0.25">
      <c r="A29" s="20"/>
      <c r="B29" s="21"/>
      <c r="C29" s="20"/>
      <c r="D29" s="19"/>
      <c r="E29" s="19"/>
      <c r="F29" s="19"/>
      <c r="G29" s="19"/>
      <c r="H29" s="19"/>
      <c r="I29" s="19"/>
      <c r="J29" s="19"/>
      <c r="K29" s="19"/>
      <c r="L29" s="19"/>
      <c r="M29" s="19"/>
      <c r="N29" s="19"/>
      <c r="O29" s="19"/>
      <c r="P29" s="19"/>
      <c r="Q29" s="19"/>
      <c r="R29" s="19"/>
      <c r="S29" s="19"/>
      <c r="T29" s="19"/>
      <c r="U29" s="19"/>
      <c r="V29" s="19"/>
      <c r="W29" s="19"/>
    </row>
  </sheetData>
  <conditionalFormatting sqref="B22:B23">
    <cfRule type="cellIs" dxfId="5" priority="4" operator="equal">
      <formula>"The product is not data protection relevant."</formula>
    </cfRule>
    <cfRule type="cellIs" dxfId="4" priority="5" operator="equal">
      <formula>"Assessment Result Pending"</formula>
    </cfRule>
    <cfRule type="cellIs" dxfId="3" priority="6" operator="equal">
      <formula>"The product is data protection relevant, perform Data Protection Compliance Check!"</formula>
    </cfRule>
  </conditionalFormatting>
  <conditionalFormatting sqref="B21">
    <cfRule type="cellIs" dxfId="2" priority="1" operator="equal">
      <formula>"The product is not data protection relevant."</formula>
    </cfRule>
    <cfRule type="cellIs" dxfId="1" priority="2" operator="equal">
      <formula>"Assessment Result Pending"</formula>
    </cfRule>
    <cfRule type="cellIs" dxfId="0" priority="3" operator="equal">
      <formula>"The product is data protection relevant, perform Data Protection Compliance Check!"</formula>
    </cfRule>
  </conditionalFormatting>
  <dataValidations count="2">
    <dataValidation type="list" allowBlank="1" showInputMessage="1" showErrorMessage="1" sqref="B16" xr:uid="{00000000-0002-0000-0000-000000000000}">
      <formula1>"Draft, Pending, Final"</formula1>
    </dataValidation>
    <dataValidation type="list" allowBlank="1" showInputMessage="1" showErrorMessage="1" sqref="B17" xr:uid="{00000000-0002-0000-0000-000001000000}">
      <formula1>"internal,confidential,strictly confidential"</formula1>
    </dataValidation>
  </dataValidations>
  <pageMargins left="0.7" right="0.7" top="0.78740157499999996" bottom="0.78740157499999996" header="0.3" footer="0.3"/>
  <pageSetup paperSize="9" scale="54" orientation="portrait" r:id="rId1"/>
  <headerFooter>
    <oddHeader>&amp;C&amp;"Bosch Office Sans,Bold"&amp;14Management System Template&amp;R&amp;P of &amp;N</oddHeader>
    <oddFooter>&amp;C&amp;"Bosch Office Sans,Regular"&amp;8© This is the exclusive property of Bosch Global Software Technologies Private Limited. Without their consent, it may not be reproduced or given to third parties. 
 27/09/2023&amp;R&amp;"Bosch Office Sans,Regular"&amp;8Internal &amp;F</oddFooter>
  </headerFooter>
  <colBreaks count="1" manualBreakCount="1">
    <brk id="3"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A1:G19"/>
  <sheetViews>
    <sheetView tabSelected="1" view="pageBreakPreview" topLeftCell="A13" zoomScale="120" zoomScaleNormal="85" zoomScaleSheetLayoutView="120" workbookViewId="0">
      <selection activeCell="C12" sqref="C12"/>
    </sheetView>
  </sheetViews>
  <sheetFormatPr defaultColWidth="11.453125" defaultRowHeight="13" x14ac:dyDescent="0.3"/>
  <cols>
    <col min="1" max="1" width="5.1796875" style="11" customWidth="1"/>
    <col min="2" max="2" width="54" style="1" customWidth="1"/>
    <col min="3" max="3" width="11.453125" style="1" customWidth="1"/>
    <col min="4" max="4" width="38" style="1" customWidth="1"/>
    <col min="5" max="5" width="11.453125" style="1"/>
    <col min="6" max="6" width="18.90625" style="1" bestFit="1" customWidth="1"/>
    <col min="7" max="7" width="51" style="2" customWidth="1"/>
    <col min="8" max="16384" width="11.453125" style="2"/>
  </cols>
  <sheetData>
    <row r="1" spans="1:7" x14ac:dyDescent="0.3">
      <c r="A1" s="75" t="s">
        <v>84</v>
      </c>
      <c r="B1" s="76"/>
      <c r="C1" s="76"/>
      <c r="D1" s="76"/>
      <c r="E1" s="76"/>
      <c r="F1" s="76"/>
    </row>
    <row r="2" spans="1:7" ht="18" customHeight="1" x14ac:dyDescent="0.3">
      <c r="A2" s="77"/>
      <c r="B2" s="78"/>
      <c r="C2" s="78"/>
      <c r="D2" s="78"/>
      <c r="E2" s="78"/>
      <c r="F2" s="78"/>
    </row>
    <row r="3" spans="1:7" ht="187.5" customHeight="1" thickBot="1" x14ac:dyDescent="0.35">
      <c r="A3" s="83" t="s">
        <v>81</v>
      </c>
      <c r="B3" s="83"/>
      <c r="C3" s="83"/>
      <c r="D3" s="83"/>
      <c r="E3" s="83"/>
      <c r="F3" s="83"/>
    </row>
    <row r="4" spans="1:7" ht="13.5" thickBot="1" x14ac:dyDescent="0.35">
      <c r="A4" s="3" t="s">
        <v>21</v>
      </c>
      <c r="B4" s="4" t="s">
        <v>22</v>
      </c>
      <c r="C4" s="4" t="s">
        <v>23</v>
      </c>
      <c r="D4" s="4" t="s">
        <v>24</v>
      </c>
      <c r="E4" s="4" t="s">
        <v>25</v>
      </c>
      <c r="F4" s="4" t="s">
        <v>26</v>
      </c>
    </row>
    <row r="6" spans="1:7" ht="116" x14ac:dyDescent="0.3">
      <c r="A6" s="27">
        <v>1</v>
      </c>
      <c r="B6" s="44" t="s">
        <v>27</v>
      </c>
      <c r="C6" s="37"/>
      <c r="D6" s="38"/>
      <c r="E6" s="39">
        <f>IF($C6="No", 1,IF($C6="Yes",-1,0))</f>
        <v>0</v>
      </c>
      <c r="F6" s="40" t="s">
        <v>28</v>
      </c>
    </row>
    <row r="7" spans="1:7" ht="78.75" customHeight="1" x14ac:dyDescent="0.3">
      <c r="A7" s="27">
        <v>2</v>
      </c>
      <c r="B7" s="44" t="s">
        <v>29</v>
      </c>
      <c r="C7" s="37"/>
      <c r="D7" s="38"/>
      <c r="E7" s="39">
        <f>IF($C7="No", 1,IF($C7="Yes",-1,0))</f>
        <v>0</v>
      </c>
      <c r="F7" s="40" t="s">
        <v>30</v>
      </c>
    </row>
    <row r="8" spans="1:7" ht="93" customHeight="1" x14ac:dyDescent="0.3">
      <c r="A8" s="27">
        <v>3</v>
      </c>
      <c r="B8" s="45" t="s">
        <v>31</v>
      </c>
      <c r="C8" s="37"/>
      <c r="D8" s="38"/>
      <c r="E8" s="39">
        <f t="shared" ref="E8:E13" si="0">IF($C8="No", 1,IF($C8="Yes",-1,0))</f>
        <v>0</v>
      </c>
      <c r="F8" s="40" t="s">
        <v>32</v>
      </c>
    </row>
    <row r="9" spans="1:7" ht="61.5" customHeight="1" x14ac:dyDescent="0.3">
      <c r="A9" s="27">
        <v>4</v>
      </c>
      <c r="B9" s="45" t="s">
        <v>33</v>
      </c>
      <c r="C9" s="37"/>
      <c r="D9" s="38"/>
      <c r="E9" s="39">
        <f t="shared" si="0"/>
        <v>0</v>
      </c>
      <c r="F9" s="40" t="s">
        <v>34</v>
      </c>
    </row>
    <row r="10" spans="1:7" ht="173.25" customHeight="1" x14ac:dyDescent="0.3">
      <c r="A10" s="27">
        <v>5</v>
      </c>
      <c r="B10" s="45" t="s">
        <v>35</v>
      </c>
      <c r="C10" s="37"/>
      <c r="D10" s="41"/>
      <c r="E10" s="42">
        <f t="shared" si="0"/>
        <v>0</v>
      </c>
      <c r="F10" s="36" t="s">
        <v>36</v>
      </c>
    </row>
    <row r="11" spans="1:7" ht="129" customHeight="1" x14ac:dyDescent="0.3">
      <c r="A11" s="27">
        <v>6</v>
      </c>
      <c r="B11" s="46" t="s">
        <v>37</v>
      </c>
      <c r="C11" s="37"/>
      <c r="D11" s="38"/>
      <c r="E11" s="39">
        <f t="shared" si="0"/>
        <v>0</v>
      </c>
      <c r="F11" s="43" t="s">
        <v>38</v>
      </c>
      <c r="G11" s="32"/>
    </row>
    <row r="12" spans="1:7" ht="135" customHeight="1" x14ac:dyDescent="0.3">
      <c r="A12" s="27">
        <v>7</v>
      </c>
      <c r="B12" s="45" t="s">
        <v>39</v>
      </c>
      <c r="C12" s="37" t="s">
        <v>86</v>
      </c>
      <c r="D12" s="38"/>
      <c r="E12" s="39">
        <f t="shared" si="0"/>
        <v>-1</v>
      </c>
      <c r="F12" s="25" t="s">
        <v>40</v>
      </c>
      <c r="G12" s="33"/>
    </row>
    <row r="13" spans="1:7" ht="117" customHeight="1" x14ac:dyDescent="0.3">
      <c r="A13" s="27">
        <v>8</v>
      </c>
      <c r="B13" s="46" t="s">
        <v>41</v>
      </c>
      <c r="C13" s="37"/>
      <c r="D13" s="38"/>
      <c r="E13" s="39">
        <f t="shared" si="0"/>
        <v>0</v>
      </c>
      <c r="F13" s="43" t="s">
        <v>40</v>
      </c>
    </row>
    <row r="16" spans="1:7" ht="13.5" thickBot="1" x14ac:dyDescent="0.35"/>
    <row r="17" spans="2:5" ht="60" customHeight="1" thickBot="1" x14ac:dyDescent="0.35">
      <c r="B17" s="5" t="s">
        <v>42</v>
      </c>
      <c r="C17" s="81" t="str">
        <f>IF($E$17=1,"Assement is completed","Please answer the unanswered and/or open questions to complete the assessment")</f>
        <v>Please answer the unanswered and/or open questions to complete the assessment</v>
      </c>
      <c r="D17" s="82"/>
      <c r="E17" s="6">
        <f>(COUNTIF($C$6:$C$13,"yes")+COUNTIF($C$6:$C$13,"no"))/COUNTA($B$6:$B$13)</f>
        <v>0.125</v>
      </c>
    </row>
    <row r="18" spans="2:5" ht="60" customHeight="1" thickBot="1" x14ac:dyDescent="0.35">
      <c r="B18" s="7" t="s">
        <v>43</v>
      </c>
      <c r="C18" s="81" t="str">
        <f>IF(E18=1,"The product is not security relevant. Contact your ProSO for confirmation. No further activities required by SEP",IF(E18=-1,"The product is security relevant. The planning of budget and resources for security activities is required by SEP. Nominate team members for Product Security topics","Assessment Result Pending"))</f>
        <v>Assessment Result Pending</v>
      </c>
      <c r="D18" s="82"/>
      <c r="E18" s="8">
        <f>IF((COUNTIF($C$6:$C$11,"no")-COUNTA($B$6:$B$11))=0,1,IF(COUNTIF($C$6:$C$11,"yes")&gt;0,-1,0))</f>
        <v>0</v>
      </c>
    </row>
    <row r="19" spans="2:5" ht="69.75" customHeight="1" thickBot="1" x14ac:dyDescent="0.35">
      <c r="B19" s="9" t="s">
        <v>44</v>
      </c>
      <c r="C19" s="79" t="str">
        <f>IF(E19=1,"The Project is not data protection relevant.",IF(E19=-1,"The Project is data protection relevant. DSPiE/DSO shall perform the detailed Data Protection Check and IoT Principles Relevance Assessment.","Assessment Result Pending"))</f>
        <v>The Project is data protection relevant. DSPiE/DSO shall perform the detailed Data Protection Check and IoT Principles Relevance Assessment.</v>
      </c>
      <c r="D19" s="80"/>
      <c r="E19" s="10">
        <f>IF((COUNTIF(C12:C13,"no")-COUNTA(B12:B13))=0,1,IF(COUNTIF(C12:C13,"yes")&gt;0,-1,0))</f>
        <v>-1</v>
      </c>
    </row>
  </sheetData>
  <customSheetViews>
    <customSheetView guid="{71297A18-AD6A-4773-A1B4-4884E78029D7}" scale="90" fitToPage="1" topLeftCell="A17">
      <selection activeCell="C18" sqref="C18"/>
      <pageMargins left="0" right="0" top="0" bottom="0" header="0" footer="0"/>
      <pageSetup paperSize="9" scale="69" fitToHeight="0" orientation="landscape" horizontalDpi="4294967294" r:id="rId1"/>
      <headerFooter alignWithMargins="0">
        <oddHeader>&amp;L&amp;"Tahoma,Fett"
Security Relevance Questionnaire&amp;R&amp;"Frutiger 45 Light,Standard"&amp;8&amp;G</oddHeader>
        <oddFooter>&amp;L&amp;8If printed, this document is an uncontrolled copy.
&amp;C&amp;8Confidential
&amp;R&amp;8 Page &amp;P of &amp;N
Template: 00TE00294 V02 - released
File: &amp;F / Sheet: &amp;A</oddFooter>
      </headerFooter>
    </customSheetView>
  </customSheetViews>
  <mergeCells count="5">
    <mergeCell ref="A1:F2"/>
    <mergeCell ref="C19:D19"/>
    <mergeCell ref="C17:D17"/>
    <mergeCell ref="C18:D18"/>
    <mergeCell ref="A3:F3"/>
  </mergeCells>
  <conditionalFormatting sqref="E17">
    <cfRule type="colorScale" priority="1">
      <colorScale>
        <cfvo type="num" val="0"/>
        <cfvo type="percentile" val="50"/>
        <cfvo type="num" val="1"/>
        <color rgb="FFF8696B"/>
        <color rgb="FFFFEB84"/>
        <color rgb="FF63BE7B"/>
      </colorScale>
    </cfRule>
  </conditionalFormatting>
  <dataValidations count="1">
    <dataValidation type="list" allowBlank="1" showInputMessage="1" showErrorMessage="1" sqref="C6:C13" xr:uid="{00000000-0002-0000-0100-000000000000}">
      <formula1>"yes,no"</formula1>
    </dataValidation>
  </dataValidations>
  <pageMargins left="0.7" right="0.7" top="0.78740157499999996" bottom="0.78740157499999996" header="0.3" footer="0.3"/>
  <pageSetup paperSize="9" scale="42" fitToWidth="0" fitToHeight="0" orientation="portrait" r:id="rId2"/>
  <headerFooter>
    <oddHeader>&amp;C&amp;"Bosch Office Sans,Bold"&amp;14Management System Template&amp;R&amp;P of &amp;N</oddHeader>
    <oddFooter>&amp;C&amp;"Bosch Office Sans,Regular"&amp;8© This is the exclusive property of Bosch Global Software Technologies Private Limited. Without their consent, it may not be reproduced or given to third parties. 
 27/09/2023&amp;R&amp;"Bosch Office Sans,Regular"&amp;8Internal &amp;F</oddFooter>
  </headerFooter>
  <extLst>
    <ext xmlns:x14="http://schemas.microsoft.com/office/spreadsheetml/2009/9/main" uri="{78C0D931-6437-407d-A8EE-F0AAD7539E65}">
      <x14:conditionalFormattings>
        <x14:conditionalFormatting xmlns:xm="http://schemas.microsoft.com/office/excel/2006/main">
          <x14:cfRule type="iconSet" priority="2" id="{50D8805F-F65F-4D1F-BC6B-99E214AEFA77}">
            <x14:iconSet showValue="0" custom="1">
              <x14:cfvo type="percent">
                <xm:f>0</xm:f>
              </x14:cfvo>
              <x14:cfvo type="num">
                <xm:f>0</xm:f>
              </x14:cfvo>
              <x14:cfvo type="num">
                <xm:f>1</xm:f>
              </x14:cfvo>
              <x14:cfIcon iconSet="3TrafficLights1" iconId="0"/>
              <x14:cfIcon iconSet="5Quarters" iconId="0"/>
              <x14:cfIcon iconSet="3TrafficLights1" iconId="2"/>
            </x14:iconSet>
          </x14:cfRule>
          <xm:sqref>E18:E19</xm:sqref>
        </x14:conditionalFormatting>
        <x14:conditionalFormatting xmlns:xm="http://schemas.microsoft.com/office/excel/2006/main">
          <x14:cfRule type="iconSet" priority="72" id="{F0F2DD50-7853-47FA-8F7E-852577519A57}">
            <x14:iconSet showValue="0" custom="1">
              <x14:cfvo type="percent">
                <xm:f>0</xm:f>
              </x14:cfvo>
              <x14:cfvo type="num">
                <xm:f>0</xm:f>
              </x14:cfvo>
              <x14:cfvo type="num">
                <xm:f>1</xm:f>
              </x14:cfvo>
              <x14:cfIcon iconSet="3TrafficLights1" iconId="0"/>
              <x14:cfIcon iconSet="5Quarters" iconId="0"/>
              <x14:cfIcon iconSet="3TrafficLights1" iconId="2"/>
            </x14:iconSet>
          </x14:cfRule>
          <xm:sqref>E6:E13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rs xmlns="501d5a7d-639b-4e58-a3d0-6d0abbe3f5ea">
      <UserInfo>
        <DisplayName>Saxena Abhinav (MS/ECL4)</DisplayName>
        <AccountId>25</AccountId>
        <AccountType/>
      </UserInfo>
    </Reviewers>
    <ReviewStatus xmlns="501d5a7d-639b-4e58-a3d0-6d0abbe3f5ea" xsi:nil="true"/>
    <HistoryCheck xmlns="501d5a7d-639b-4e58-a3d0-6d0abbe3f5ea">Template and Document history checked</HistoryCheck>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E8D04E5A6C75143B9FD0665AD31FF00" ma:contentTypeVersion="6" ma:contentTypeDescription="Create a new document." ma:contentTypeScope="" ma:versionID="9202e8ba1d22b641213286ba33cd1074">
  <xsd:schema xmlns:xsd="http://www.w3.org/2001/XMLSchema" xmlns:xs="http://www.w3.org/2001/XMLSchema" xmlns:p="http://schemas.microsoft.com/office/2006/metadata/properties" xmlns:ns2="501d5a7d-639b-4e58-a3d0-6d0abbe3f5ea" targetNamespace="http://schemas.microsoft.com/office/2006/metadata/properties" ma:root="true" ma:fieldsID="90c3dc3c28bb14b4df71fa0c9a4d2735" ns2:_="">
    <xsd:import namespace="501d5a7d-639b-4e58-a3d0-6d0abbe3f5ea"/>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Reviewers" minOccurs="0"/>
                <xsd:element ref="ns2:ReviewStatus" minOccurs="0"/>
                <xsd:element ref="ns2:HistoryChec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1d5a7d-639b-4e58-a3d0-6d0abbe3f5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Reviewers" ma:index="11" nillable="true" ma:displayName="Reviewers " ma:format="Dropdown" ma:list="UserInfo" ma:SharePointGroup="0" ma:internalName="Reviewer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Status" ma:index="12" nillable="true" ma:displayName="Review Status " ma:format="Dropdown" ma:internalName="ReviewStatus">
      <xsd:simpleType>
        <xsd:restriction base="dms:Text">
          <xsd:maxLength value="255"/>
        </xsd:restriction>
      </xsd:simpleType>
    </xsd:element>
    <xsd:element name="HistoryCheck" ma:index="13" nillable="true" ma:displayName="History Check" ma:format="Dropdown" ma:internalName="HistoryCheck">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8558AA7-6F53-4441-939E-73A48ED50D47}">
  <ds:schemaRefs>
    <ds:schemaRef ds:uri="http://purl.org/dc/elements/1.1/"/>
    <ds:schemaRef ds:uri="http://purl.org/dc/dcmitype/"/>
    <ds:schemaRef ds:uri="http://schemas.microsoft.com/office/2006/documentManagement/types"/>
    <ds:schemaRef ds:uri="501d5a7d-639b-4e58-a3d0-6d0abbe3f5ea"/>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71B40D7D-6BD2-4182-88E5-93C5DEA6F0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1d5a7d-639b-4e58-a3d0-6d0abbe3f5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C8BB19-753F-4A9A-B242-EFDA3DEAC6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Version History</vt:lpstr>
      <vt:lpstr>CoverSheet</vt:lpstr>
      <vt:lpstr>Assessment</vt:lpstr>
      <vt:lpstr>CoverSheet!Print_Area</vt:lpstr>
      <vt:lpstr>'Version History'!Print_Area</vt:lpstr>
    </vt:vector>
  </TitlesOfParts>
  <Manager/>
  <Company>BGSW</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Management System Template</dc:title>
  <dc:subject>BGSW Cyber Security Relevance Assessment</dc:subject>
  <dc:creator>Sanjay Shankarappa (BGSW/DSO)</dc:creator>
  <cp:keywords/>
  <dc:description/>
  <cp:lastModifiedBy>Ranjan Rakesh (MS/ECL5)</cp:lastModifiedBy>
  <cp:revision/>
  <cp:lastPrinted>2024-06-03T10:10:31Z</cp:lastPrinted>
  <dcterms:created xsi:type="dcterms:W3CDTF">2003-07-20T10:25:04Z</dcterms:created>
  <dcterms:modified xsi:type="dcterms:W3CDTF">2025-02-03T05:46:00Z</dcterms:modified>
  <cp:category>Internal</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
    <vt:lpwstr>2.0</vt:lpwstr>
  </property>
  <property fmtid="{D5CDD505-2E9C-101B-9397-08002B2CF9AE}" pid="3" name="Document number">
    <vt:lpwstr>QST-CSMS-01</vt:lpwstr>
  </property>
</Properties>
</file>