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bosch-my.sharepoint.com/personal/jky5kor_bosch_com/Documents/Microsoft Teams Chat Files/"/>
    </mc:Choice>
  </mc:AlternateContent>
  <xr:revisionPtr revIDLastSave="17" documentId="13_ncr:1_{576ED2B4-FA99-4AC7-A26B-AD8F432895B2}" xr6:coauthVersionLast="47" xr6:coauthVersionMax="47" xr10:uidLastSave="{0A4F3286-C383-4B94-A0DA-8E8458B2BB07}"/>
  <bookViews>
    <workbookView xWindow="-110" yWindow="-110" windowWidth="19420" windowHeight="10300" xr2:uid="{00000000-000D-0000-FFFF-FFFF00000000}"/>
  </bookViews>
  <sheets>
    <sheet name="Assessment" sheetId="3" r:id="rId1"/>
  </sheets>
  <definedNames>
    <definedName name="d">#REF!</definedName>
    <definedName name="ProjectName">#REF!</definedName>
    <definedName name="ProjectNumber">#REF!</definedName>
  </definedNames>
  <calcPr calcId="191028"/>
  <customWorkbookViews>
    <customWorkbookView name="Kaesser Claudia (CC/PJ-PSP) - Personal View" guid="{71297A18-AD6A-4773-A1B4-4884E78029D7}" mergeInterval="0" personalView="1" xWindow="134" yWindow="73" windowWidth="1736" windowHeight="941"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3" l="1"/>
  <c r="E18" i="3"/>
  <c r="C18" i="3" s="1"/>
  <c r="E17" i="3"/>
  <c r="E12" i="3"/>
  <c r="E16" i="3"/>
  <c r="C16" i="3" s="1"/>
  <c r="E7" i="3"/>
  <c r="E8" i="3"/>
  <c r="E9" i="3"/>
  <c r="E10" i="3"/>
  <c r="E11" i="3"/>
  <c r="E6" i="3"/>
  <c r="C17" i="3" l="1"/>
</calcChain>
</file>

<file path=xl/sharedStrings.xml><?xml version="1.0" encoding="utf-8"?>
<sst xmlns="http://schemas.openxmlformats.org/spreadsheetml/2006/main" count="31" uniqueCount="27">
  <si>
    <t>Status</t>
  </si>
  <si>
    <t>Security Relevance Assessment</t>
  </si>
  <si>
    <t>No</t>
  </si>
  <si>
    <t>Question</t>
  </si>
  <si>
    <t>Answer</t>
  </si>
  <si>
    <t>Additional Remarks to the answer (optional)</t>
  </si>
  <si>
    <t>Hints to the question</t>
  </si>
  <si>
    <t>Does unauthorized manipulation of data (including programs and configurations) stored or processed on your target system lead to one or more of the following consequences?
(i) Endanger human safety.
(ii) Legal non-compliance.
(iii) Unacceptable loss of customer trust.
(iv) Unacceptable loss of reputation/image.
(v) Unacceptable financial loss.</t>
  </si>
  <si>
    <t>yes</t>
  </si>
  <si>
    <t>Integrity</t>
  </si>
  <si>
    <t>Does the target system store or process confidential information?</t>
  </si>
  <si>
    <t xml:space="preserve">Confidentiality </t>
  </si>
  <si>
    <t xml:space="preserve">Does the non-availability of the target system have one or more of the following consequences?
(i) Endanger human safety.
(ii) Legal non-compliance.
(iii) Unacceptable loss of customer trust.
(iv) Unacceptable loss of reputation/image.
(v) Unacceptable financial losses.
</t>
  </si>
  <si>
    <t>no</t>
  </si>
  <si>
    <t xml:space="preserve">Availability 
</t>
  </si>
  <si>
    <t>Does one of the following lead to unacceptable loss of revenue?
(i) Loss of intellectual property contained in the target system.
(ii) Unauthorized copying of the target system (or some of its data).
(iii) Unauthorized use of the target system.</t>
  </si>
  <si>
    <t>Impact</t>
  </si>
  <si>
    <t>Does the target system interact with or depend upon an un-trusted network, e.g. public networks such as the Internet?</t>
  </si>
  <si>
    <t>Connected</t>
  </si>
  <si>
    <t>Is the risk of hacking attacks by malicious externals foreseen?</t>
  </si>
  <si>
    <t xml:space="preserve">Hacking </t>
  </si>
  <si>
    <t>Does the product/service collect, process or use personal data (also in form of indirect processes)?</t>
  </si>
  <si>
    <t>Data</t>
  </si>
  <si>
    <t>Is data collected, processed or used which will be, in connection with other data at RB or external party, personal related?</t>
  </si>
  <si>
    <t>Security Relevance Assessment Completeness</t>
  </si>
  <si>
    <t>Security Relevance Assessment Result</t>
  </si>
  <si>
    <t>Data Protection Assessment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</si>
</sst>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0"/>
      <name val="Tahoma"/>
      <family val="2"/>
    </font>
    <font>
      <sz val="10"/>
      <name val="Tahoma"/>
      <family val="2"/>
    </font>
    <font>
      <sz val="10"/>
      <name val="Calibri"/>
      <family val="2"/>
      <scheme val="minor"/>
    </font>
    <font>
      <b/>
      <sz val="10"/>
      <name val="Calibri"/>
      <family val="2"/>
      <scheme val="minor"/>
    </font>
    <font>
      <sz val="20"/>
      <name val="Calibri"/>
      <family val="2"/>
      <scheme val="minor"/>
    </font>
    <font>
      <u/>
      <sz val="10"/>
      <color theme="10"/>
      <name val="Tahoma"/>
      <family val="2"/>
    </font>
    <font>
      <b/>
      <sz val="22"/>
      <color theme="0"/>
      <name val="Tahoma"/>
      <family val="2"/>
    </font>
    <font>
      <sz val="20"/>
      <name val="Tahoma"/>
      <family val="2"/>
    </font>
    <font>
      <strike/>
      <sz val="10"/>
      <name val="Tahoma"/>
      <family val="2"/>
    </font>
    <font>
      <strike/>
      <sz val="20"/>
      <name val="Tahoma"/>
      <family val="2"/>
    </font>
    <font>
      <sz val="11"/>
      <color rgb="FF006100"/>
      <name val="Calibri"/>
      <family val="2"/>
      <scheme val="minor"/>
    </font>
    <font>
      <sz val="1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FFFF99"/>
        <bgColor indexed="64"/>
      </patternFill>
    </fill>
    <fill>
      <patternFill patternType="solid">
        <fgColor theme="4"/>
        <bgColor indexed="64"/>
      </patternFill>
    </fill>
    <fill>
      <patternFill patternType="solid">
        <fgColor rgb="FFC6EFCE"/>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5">
    <xf numFmtId="0" fontId="0" fillId="0" borderId="0">
      <alignment vertical="top"/>
    </xf>
    <xf numFmtId="9" fontId="1" fillId="0" borderId="0" applyFont="0" applyFill="0" applyBorder="0" applyAlignment="0" applyProtection="0"/>
    <xf numFmtId="0" fontId="1" fillId="0" borderId="0">
      <alignment vertical="top"/>
    </xf>
    <xf numFmtId="0" fontId="5" fillId="0" borderId="0" applyNumberFormat="0" applyFill="0" applyBorder="0" applyAlignment="0" applyProtection="0">
      <alignment vertical="top"/>
    </xf>
    <xf numFmtId="0" fontId="10" fillId="5" borderId="0" applyNumberFormat="0" applyBorder="0" applyAlignment="0" applyProtection="0"/>
  </cellStyleXfs>
  <cellXfs count="35">
    <xf numFmtId="0" fontId="0" fillId="0" borderId="0" xfId="0">
      <alignment vertical="top"/>
    </xf>
    <xf numFmtId="0" fontId="2" fillId="0" borderId="0" xfId="0" applyFont="1" applyAlignment="1">
      <alignment vertical="top" wrapText="1"/>
    </xf>
    <xf numFmtId="0" fontId="2" fillId="0" borderId="0" xfId="0" applyFont="1" applyAlignment="1"/>
    <xf numFmtId="0" fontId="2" fillId="2" borderId="2" xfId="0" applyFont="1" applyFill="1" applyBorder="1" applyAlignment="1">
      <alignment horizontal="left" vertical="top" wrapText="1"/>
    </xf>
    <xf numFmtId="0" fontId="2" fillId="2" borderId="3" xfId="0" applyFont="1" applyFill="1" applyBorder="1" applyAlignment="1">
      <alignment vertical="top" wrapText="1"/>
    </xf>
    <xf numFmtId="0" fontId="3" fillId="2" borderId="6" xfId="0" applyFont="1" applyFill="1" applyBorder="1" applyAlignment="1">
      <alignment vertical="center" wrapText="1"/>
    </xf>
    <xf numFmtId="9" fontId="2" fillId="0" borderId="12" xfId="1" applyFont="1" applyBorder="1" applyAlignment="1">
      <alignment horizontal="center" vertical="center" wrapText="1"/>
    </xf>
    <xf numFmtId="0" fontId="3" fillId="2" borderId="10" xfId="0" applyFont="1" applyFill="1" applyBorder="1" applyAlignment="1">
      <alignment vertical="center" wrapText="1"/>
    </xf>
    <xf numFmtId="0" fontId="4" fillId="2" borderId="5" xfId="0" applyFont="1" applyFill="1" applyBorder="1" applyAlignment="1">
      <alignment horizontal="center" vertical="center" wrapText="1"/>
    </xf>
    <xf numFmtId="0" fontId="3" fillId="2" borderId="9" xfId="0" applyFont="1" applyFill="1" applyBorder="1" applyAlignment="1">
      <alignment vertical="center" wrapText="1"/>
    </xf>
    <xf numFmtId="0" fontId="4" fillId="2" borderId="4" xfId="0" applyFont="1" applyFill="1" applyBorder="1" applyAlignment="1">
      <alignment horizontal="center" vertical="center" wrapText="1"/>
    </xf>
    <xf numFmtId="0" fontId="2" fillId="0" borderId="0" xfId="0" applyFont="1" applyAlignment="1">
      <alignment horizontal="left" vertical="top" wrapText="1"/>
    </xf>
    <xf numFmtId="0" fontId="0" fillId="2" borderId="1" xfId="0" applyFill="1" applyBorder="1" applyAlignment="1">
      <alignment horizontal="left" vertical="center" wrapText="1"/>
    </xf>
    <xf numFmtId="0" fontId="2" fillId="2" borderId="1" xfId="0" applyFont="1" applyFill="1" applyBorder="1" applyAlignment="1">
      <alignment horizontal="left" vertical="top" wrapText="1"/>
    </xf>
    <xf numFmtId="0" fontId="5" fillId="0" borderId="0" xfId="3" applyAlignment="1"/>
    <xf numFmtId="0" fontId="5" fillId="0" borderId="0" xfId="3" applyAlignment="1">
      <alignment vertical="center"/>
    </xf>
    <xf numFmtId="0" fontId="0" fillId="2" borderId="1" xfId="0" quotePrefix="1" applyFill="1" applyBorder="1" applyAlignment="1">
      <alignment vertical="center" wrapText="1"/>
    </xf>
    <xf numFmtId="0" fontId="0" fillId="3" borderId="1" xfId="0" applyFill="1" applyBorder="1" applyAlignment="1" applyProtection="1">
      <alignment horizontal="center" vertical="center" wrapText="1"/>
      <protection locked="0"/>
    </xf>
    <xf numFmtId="0" fontId="0" fillId="3" borderId="1" xfId="0" applyFill="1" applyBorder="1" applyAlignment="1" applyProtection="1">
      <alignment vertical="top" wrapText="1"/>
      <protection locked="0"/>
    </xf>
    <xf numFmtId="0" fontId="7" fillId="2" borderId="1" xfId="0" applyFont="1" applyFill="1" applyBorder="1" applyAlignment="1">
      <alignment horizontal="center" vertical="center" wrapText="1"/>
    </xf>
    <xf numFmtId="0" fontId="0" fillId="2" borderId="1" xfId="0" applyFill="1" applyBorder="1" applyAlignment="1">
      <alignment vertical="center" wrapText="1"/>
    </xf>
    <xf numFmtId="0" fontId="8" fillId="3" borderId="1" xfId="0" applyFont="1" applyFill="1" applyBorder="1" applyAlignment="1" applyProtection="1">
      <alignment vertical="top" wrapText="1"/>
      <protection locked="0"/>
    </xf>
    <xf numFmtId="0" fontId="9" fillId="2" borderId="1" xfId="0" applyFont="1" applyFill="1" applyBorder="1" applyAlignment="1">
      <alignment horizontal="center" vertical="center" wrapText="1"/>
    </xf>
    <xf numFmtId="0" fontId="0" fillId="2" borderId="1" xfId="0" quotePrefix="1" applyFill="1" applyBorder="1" applyAlignment="1">
      <alignment horizontal="left" vertical="center" wrapText="1"/>
    </xf>
    <xf numFmtId="0" fontId="11" fillId="0" borderId="1" xfId="4" applyFont="1" applyFill="1" applyBorder="1" applyAlignment="1">
      <alignment vertical="center" wrapText="1"/>
    </xf>
    <xf numFmtId="0" fontId="1" fillId="0" borderId="1" xfId="0" applyFont="1" applyBorder="1" applyAlignment="1">
      <alignment vertical="top" wrapText="1"/>
    </xf>
    <xf numFmtId="0" fontId="11" fillId="0" borderId="1" xfId="4" applyFont="1" applyFill="1" applyBorder="1" applyAlignment="1">
      <alignment vertical="top" wrapText="1"/>
    </xf>
    <xf numFmtId="0" fontId="6" fillId="4" borderId="13" xfId="0" applyFont="1" applyFill="1" applyBorder="1" applyAlignment="1">
      <alignment horizontal="center" vertical="center" wrapText="1"/>
    </xf>
    <xf numFmtId="0" fontId="6" fillId="4" borderId="14"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0" xfId="0" applyFont="1" applyFill="1" applyAlignment="1">
      <alignment horizontal="center" vertical="center" wrapText="1"/>
    </xf>
    <xf numFmtId="0" fontId="2" fillId="2" borderId="10"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2" borderId="8" xfId="0" applyFont="1" applyFill="1" applyBorder="1" applyAlignment="1">
      <alignment horizontal="left" vertical="center" wrapText="1"/>
    </xf>
  </cellXfs>
  <cellStyles count="5">
    <cellStyle name="Good" xfId="4" builtinId="26"/>
    <cellStyle name="Hyperlink" xfId="3" builtinId="8"/>
    <cellStyle name="Normal" xfId="0" builtinId="0"/>
    <cellStyle name="Normal 2" xfId="2" xr:uid="{00000000-0005-0000-0000-000003000000}"/>
    <cellStyle name="Percent" xfId="1" builtinId="5"/>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A1:G19"/>
  <sheetViews>
    <sheetView tabSelected="1" view="pageBreakPreview" zoomScale="85" zoomScaleNormal="85" zoomScaleSheetLayoutView="85" workbookViewId="0">
      <selection activeCell="A3" sqref="A3:F3"/>
    </sheetView>
  </sheetViews>
  <sheetFormatPr defaultColWidth="11.453125" defaultRowHeight="13" x14ac:dyDescent="0.3"/>
  <cols>
    <col min="1" max="1" width="5.1796875" style="11" customWidth="1"/>
    <col min="2" max="2" width="54" style="1" customWidth="1"/>
    <col min="3" max="3" width="11.453125" style="1" customWidth="1"/>
    <col min="4" max="4" width="38" style="1" customWidth="1"/>
    <col min="5" max="5" width="11.453125" style="1"/>
    <col min="6" max="6" width="18.81640625" style="1" bestFit="1" customWidth="1"/>
    <col min="7" max="7" width="51" style="2" customWidth="1"/>
    <col min="8" max="16384" width="11.453125" style="2"/>
  </cols>
  <sheetData>
    <row r="1" spans="1:7" x14ac:dyDescent="0.3">
      <c r="A1" s="27" t="s">
        <v>1</v>
      </c>
      <c r="B1" s="28"/>
      <c r="C1" s="28"/>
      <c r="D1" s="28"/>
      <c r="E1" s="28"/>
      <c r="F1" s="28"/>
    </row>
    <row r="2" spans="1:7" ht="18" customHeight="1" thickBot="1" x14ac:dyDescent="0.35">
      <c r="A2" s="29"/>
      <c r="B2" s="30"/>
      <c r="C2" s="30"/>
      <c r="D2" s="30"/>
      <c r="E2" s="30"/>
      <c r="F2" s="30"/>
    </row>
    <row r="3" spans="1:7" ht="187.5" customHeight="1" thickBot="1" x14ac:dyDescent="0.35">
      <c r="A3" s="3" t="s">
        <v>2</v>
      </c>
      <c r="B3" s="4" t="s">
        <v>3</v>
      </c>
      <c r="C3" s="4" t="s">
        <v>4</v>
      </c>
      <c r="D3" s="4" t="s">
        <v>5</v>
      </c>
      <c r="E3" s="4" t="s">
        <v>0</v>
      </c>
      <c r="F3" s="4" t="s">
        <v>6</v>
      </c>
    </row>
    <row r="5" spans="1:7" ht="116" x14ac:dyDescent="0.3">
      <c r="A5" s="13">
        <v>1</v>
      </c>
      <c r="B5" s="24" t="s">
        <v>7</v>
      </c>
      <c r="C5" s="17" t="s">
        <v>8</v>
      </c>
      <c r="D5" s="18"/>
      <c r="E5" s="19">
        <f>IF($C5="No", 1,IF($C5="Yes",-1,0))</f>
        <v>-1</v>
      </c>
      <c r="F5" s="20" t="s">
        <v>9</v>
      </c>
    </row>
    <row r="6" spans="1:7" ht="29" x14ac:dyDescent="0.3">
      <c r="A6" s="13">
        <v>2</v>
      </c>
      <c r="B6" s="24" t="s">
        <v>10</v>
      </c>
      <c r="C6" s="17" t="s">
        <v>8</v>
      </c>
      <c r="D6" s="18"/>
      <c r="E6" s="19">
        <f>IF($C6="No", 1,IF($C6="Yes",-1,0))</f>
        <v>-1</v>
      </c>
      <c r="F6" s="20" t="s">
        <v>11</v>
      </c>
    </row>
    <row r="7" spans="1:7" ht="78.75" customHeight="1" x14ac:dyDescent="0.3">
      <c r="A7" s="13">
        <v>3</v>
      </c>
      <c r="B7" s="25" t="s">
        <v>12</v>
      </c>
      <c r="C7" s="17" t="s">
        <v>13</v>
      </c>
      <c r="D7" s="18"/>
      <c r="E7" s="19">
        <f t="shared" ref="E7:E12" si="0">IF($C7="No", 1,IF($C7="Yes",-1,0))</f>
        <v>1</v>
      </c>
      <c r="F7" s="20" t="s">
        <v>14</v>
      </c>
    </row>
    <row r="8" spans="1:7" ht="93" customHeight="1" x14ac:dyDescent="0.3">
      <c r="A8" s="13">
        <v>4</v>
      </c>
      <c r="B8" s="25" t="s">
        <v>15</v>
      </c>
      <c r="C8" s="17"/>
      <c r="D8" s="18"/>
      <c r="E8" s="19">
        <f t="shared" si="0"/>
        <v>0</v>
      </c>
      <c r="F8" s="20" t="s">
        <v>16</v>
      </c>
    </row>
    <row r="9" spans="1:7" ht="61.5" customHeight="1" x14ac:dyDescent="0.3">
      <c r="A9" s="13">
        <v>5</v>
      </c>
      <c r="B9" s="25" t="s">
        <v>17</v>
      </c>
      <c r="C9" s="17" t="s">
        <v>13</v>
      </c>
      <c r="D9" s="21"/>
      <c r="E9" s="22">
        <f t="shared" si="0"/>
        <v>1</v>
      </c>
      <c r="F9" s="16" t="s">
        <v>18</v>
      </c>
    </row>
    <row r="10" spans="1:7" ht="173.25" customHeight="1" x14ac:dyDescent="0.3">
      <c r="A10" s="13">
        <v>6</v>
      </c>
      <c r="B10" s="26" t="s">
        <v>19</v>
      </c>
      <c r="C10" s="17"/>
      <c r="D10" s="18"/>
      <c r="E10" s="19">
        <f t="shared" si="0"/>
        <v>0</v>
      </c>
      <c r="F10" s="23" t="s">
        <v>20</v>
      </c>
    </row>
    <row r="11" spans="1:7" ht="129" customHeight="1" x14ac:dyDescent="0.3">
      <c r="A11" s="13">
        <v>7</v>
      </c>
      <c r="B11" s="25" t="s">
        <v>21</v>
      </c>
      <c r="C11" s="17" t="s">
        <v>8</v>
      </c>
      <c r="D11" s="18"/>
      <c r="E11" s="19">
        <f t="shared" si="0"/>
        <v>-1</v>
      </c>
      <c r="F11" s="12" t="s">
        <v>22</v>
      </c>
      <c r="G11" s="14"/>
    </row>
    <row r="12" spans="1:7" ht="135" customHeight="1" x14ac:dyDescent="0.3">
      <c r="A12" s="13">
        <v>8</v>
      </c>
      <c r="B12" s="26" t="s">
        <v>23</v>
      </c>
      <c r="C12" s="17"/>
      <c r="D12" s="18"/>
      <c r="E12" s="19">
        <f t="shared" si="0"/>
        <v>0</v>
      </c>
      <c r="F12" s="23" t="s">
        <v>22</v>
      </c>
      <c r="G12" s="15"/>
    </row>
    <row r="13" spans="1:7" ht="117" customHeight="1" x14ac:dyDescent="0.3"/>
    <row r="15" spans="1:7" ht="13.5" thickBot="1" x14ac:dyDescent="0.35"/>
    <row r="16" spans="1:7" ht="13.5" thickBot="1" x14ac:dyDescent="0.35">
      <c r="B16" s="5" t="s">
        <v>24</v>
      </c>
      <c r="C16" s="33" t="str">
        <f>IF($E$16=1,"Assement is completed","Please answer the unanswered and/or open questions to complete the assessment")</f>
        <v>Please answer the unanswered and/or open questions to complete the assessment</v>
      </c>
      <c r="D16" s="34"/>
      <c r="E16" s="6">
        <f>(COUNTIF($C$5:$C$12,"yes")+COUNTIF($C$5:$C$12,"no"))/COUNTA($B$5:$B$12)</f>
        <v>0.625</v>
      </c>
    </row>
    <row r="17" spans="2:5" ht="60" customHeight="1" thickBot="1" x14ac:dyDescent="0.35">
      <c r="B17" s="7" t="s">
        <v>25</v>
      </c>
      <c r="C17" s="33" t="str">
        <f>IF(E17=1,"The product is not security relevant. Contact your ProSO for confirmation. No further activities required by SEP",IF(E17=-1,"The product is security relevant. The planning of budget and resources for security activities is required by SEP. Nominate team members for Product Security topics","Assessment Result Pending"))</f>
        <v>The product is security relevant. The planning of budget and resources for security activities is required by SEP. Nominate team members for Product Security topics</v>
      </c>
      <c r="D17" s="34"/>
      <c r="E17" s="8">
        <f>IF((COUNTIF($C$5:$C$10,"no")-COUNTA($B$5:$B$10))=0,1,IF(COUNTIF($C$5:$C$10,"yes")&gt;0,-1,0))</f>
        <v>-1</v>
      </c>
    </row>
    <row r="18" spans="2:5" ht="60" customHeight="1" thickBot="1" x14ac:dyDescent="0.35">
      <c r="B18" s="9" t="s">
        <v>26</v>
      </c>
      <c r="C18" s="31" t="str">
        <f>IF(E18=1,"The Project is not data protection relevant.",IF(E18=-1,"The Project is data protection relevant. DSPiE/DSO shall perform the detailed Data Protection Check and IoT Principles Relevance Assessment.","Assessment Result Pending"))</f>
        <v>The Project is data protection relevant. DSPiE/DSO shall perform the detailed Data Protection Check and IoT Principles Relevance Assessment.</v>
      </c>
      <c r="D18" s="32"/>
      <c r="E18" s="10">
        <f>IF((COUNTIF(C11:C12,"no")-COUNTA(B11:B12))=0,1,IF(COUNTIF(C11:C12,"yes")&gt;0,-1,0))</f>
        <v>-1</v>
      </c>
    </row>
    <row r="19" spans="2:5" ht="69.75" customHeight="1" x14ac:dyDescent="0.3"/>
  </sheetData>
  <customSheetViews>
    <customSheetView guid="{71297A18-AD6A-4773-A1B4-4884E78029D7}" scale="90" fitToPage="1" topLeftCell="A17">
      <selection activeCell="C18" sqref="C18"/>
      <pageMargins left="0" right="0" top="0" bottom="0" header="0" footer="0"/>
      <pageSetup paperSize="9" scale="69" fitToHeight="0" orientation="landscape" horizontalDpi="4294967294" r:id="rId1"/>
      <headerFooter alignWithMargins="0">
        <oddHeader>&amp;L&amp;"Tahoma,Fett"
Security Relevance Questionnaire&amp;R&amp;"Frutiger 45 Light,Standard"&amp;8&amp;G</oddHeader>
        <oddFooter>&amp;L&amp;8If printed, this document is an uncontrolled copy.
&amp;C&amp;8Confidential
&amp;R&amp;8 Page &amp;P of &amp;N
Template: 00TE00294 V02 - released
File: &amp;F / Sheet: &amp;A</oddFooter>
      </headerFooter>
    </customSheetView>
  </customSheetViews>
  <mergeCells count="4">
    <mergeCell ref="A1:F2"/>
    <mergeCell ref="C18:D18"/>
    <mergeCell ref="C16:D16"/>
    <mergeCell ref="C17:D17"/>
  </mergeCells>
  <conditionalFormatting sqref="E16">
    <cfRule type="colorScale" priority="1">
      <colorScale>
        <cfvo type="num" val="0"/>
        <cfvo type="percentile" val="50"/>
        <cfvo type="num" val="1"/>
        <color rgb="FFF8696B"/>
        <color rgb="FFFFEB84"/>
        <color rgb="FF63BE7B"/>
      </colorScale>
    </cfRule>
  </conditionalFormatting>
  <dataValidations count="1">
    <dataValidation type="list" allowBlank="1" showInputMessage="1" showErrorMessage="1" sqref="C5:C12" xr:uid="{00000000-0002-0000-0100-000000000000}">
      <formula1>"yes,no"</formula1>
    </dataValidation>
  </dataValidations>
  <pageMargins left="0.7" right="0.7" top="0.78740157499999996" bottom="0.78740157499999996" header="0.3" footer="0.3"/>
  <pageSetup paperSize="9" scale="42" fitToWidth="0" fitToHeight="0" orientation="portrait" r:id="rId2"/>
  <headerFooter>
    <oddHeader>&amp;C&amp;"Bosch Office Sans,Bold"&amp;14Management System Template&amp;R&amp;P of &amp;N</oddHeader>
    <oddFooter>&amp;C&amp;"Bosch Office Sans,Regular"&amp;8© This is the exclusive property of Bosch Global Software Technologies Private Limited. Without their consent, it may not be reproduced or given to third parties. 
 27/09/2023&amp;R&amp;"Bosch Office Sans,Regular"&amp;8Internal &amp;F</oddFooter>
  </headerFooter>
  <extLst>
    <ext xmlns:x14="http://schemas.microsoft.com/office/spreadsheetml/2009/9/main" uri="{78C0D931-6437-407d-A8EE-F0AAD7539E65}">
      <x14:conditionalFormattings>
        <x14:conditionalFormatting xmlns:xm="http://schemas.microsoft.com/office/excel/2006/main">
          <x14:cfRule type="iconSet" priority="2" id="{50D8805F-F65F-4D1F-BC6B-99E214AEFA77}">
            <x14:iconSet showValue="0" custom="1">
              <x14:cfvo type="percent">
                <xm:f>0</xm:f>
              </x14:cfvo>
              <x14:cfvo type="num">
                <xm:f>0</xm:f>
              </x14:cfvo>
              <x14:cfvo type="num">
                <xm:f>1</xm:f>
              </x14:cfvo>
              <x14:cfIcon iconSet="3TrafficLights1" iconId="0"/>
              <x14:cfIcon iconSet="5Quarters" iconId="0"/>
              <x14:cfIcon iconSet="3TrafficLights1" iconId="2"/>
            </x14:iconSet>
          </x14:cfRule>
          <xm:sqref>E17:E18</xm:sqref>
        </x14:conditionalFormatting>
        <x14:conditionalFormatting xmlns:xm="http://schemas.microsoft.com/office/excel/2006/main">
          <x14:cfRule type="iconSet" priority="72" id="{F0F2DD50-7853-47FA-8F7E-852577519A57}">
            <x14:iconSet showValue="0" custom="1">
              <x14:cfvo type="percent">
                <xm:f>0</xm:f>
              </x14:cfvo>
              <x14:cfvo type="num">
                <xm:f>0</xm:f>
              </x14:cfvo>
              <x14:cfvo type="num">
                <xm:f>1</xm:f>
              </x14:cfvo>
              <x14:cfIcon iconSet="3TrafficLights1" iconId="0"/>
              <x14:cfIcon iconSet="5Quarters" iconId="0"/>
              <x14:cfIcon iconSet="3TrafficLights1" iconId="2"/>
            </x14:iconSet>
          </x14:cfRule>
          <xm:sqref>E5:E12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rs xmlns="501d5a7d-639b-4e58-a3d0-6d0abbe3f5ea">
      <UserInfo>
        <DisplayName>Saxena Abhinav (MS/ECL4)</DisplayName>
        <AccountId>25</AccountId>
        <AccountType/>
      </UserInfo>
    </Reviewers>
    <ReviewStatus xmlns="501d5a7d-639b-4e58-a3d0-6d0abbe3f5ea" xsi:nil="true"/>
    <HistoryCheck xmlns="501d5a7d-639b-4e58-a3d0-6d0abbe3f5ea">Template and Document history checked</HistoryCheck>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E8D04E5A6C75143B9FD0665AD31FF00" ma:contentTypeVersion="6" ma:contentTypeDescription="Create a new document." ma:contentTypeScope="" ma:versionID="9202e8ba1d22b641213286ba33cd1074">
  <xsd:schema xmlns:xsd="http://www.w3.org/2001/XMLSchema" xmlns:xs="http://www.w3.org/2001/XMLSchema" xmlns:p="http://schemas.microsoft.com/office/2006/metadata/properties" xmlns:ns2="501d5a7d-639b-4e58-a3d0-6d0abbe3f5ea" targetNamespace="http://schemas.microsoft.com/office/2006/metadata/properties" ma:root="true" ma:fieldsID="90c3dc3c28bb14b4df71fa0c9a4d2735" ns2:_="">
    <xsd:import namespace="501d5a7d-639b-4e58-a3d0-6d0abbe3f5ea"/>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Reviewers" minOccurs="0"/>
                <xsd:element ref="ns2:ReviewStatus" minOccurs="0"/>
                <xsd:element ref="ns2:HistoryChec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1d5a7d-639b-4e58-a3d0-6d0abbe3f5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Reviewers" ma:index="11" nillable="true" ma:displayName="Reviewers " ma:format="Dropdown" ma:list="UserInfo" ma:SharePointGroup="0" ma:internalName="Reviewer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Status" ma:index="12" nillable="true" ma:displayName="Review Status " ma:format="Dropdown" ma:internalName="ReviewStatus">
      <xsd:simpleType>
        <xsd:restriction base="dms:Text">
          <xsd:maxLength value="255"/>
        </xsd:restriction>
      </xsd:simpleType>
    </xsd:element>
    <xsd:element name="HistoryCheck" ma:index="13" nillable="true" ma:displayName="History Check" ma:format="Dropdown" ma:internalName="HistoryCheck">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558AA7-6F53-4441-939E-73A48ED50D47}">
  <ds:schemaRefs>
    <ds:schemaRef ds:uri="http://schemas.openxmlformats.org/package/2006/metadata/core-properties"/>
    <ds:schemaRef ds:uri="http://schemas.microsoft.com/office/2006/documentManagement/types"/>
    <ds:schemaRef ds:uri="http://purl.org/dc/dcmitype/"/>
    <ds:schemaRef ds:uri="http://www.w3.org/XML/1998/namespace"/>
    <ds:schemaRef ds:uri="http://purl.org/dc/terms/"/>
    <ds:schemaRef ds:uri="501d5a7d-639b-4e58-a3d0-6d0abbe3f5ea"/>
    <ds:schemaRef ds:uri="http://purl.org/dc/elements/1.1/"/>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FC8BB19-753F-4A9A-B242-EFDA3DEAC693}">
  <ds:schemaRefs>
    <ds:schemaRef ds:uri="http://schemas.microsoft.com/sharepoint/v3/contenttype/forms"/>
  </ds:schemaRefs>
</ds:datastoreItem>
</file>

<file path=customXml/itemProps3.xml><?xml version="1.0" encoding="utf-8"?>
<ds:datastoreItem xmlns:ds="http://schemas.openxmlformats.org/officeDocument/2006/customXml" ds:itemID="{71B40D7D-6BD2-4182-88E5-93C5DEA6F0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1d5a7d-639b-4e58-a3d0-6d0abbe3f5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Assessment</vt:lpstr>
    </vt:vector>
  </TitlesOfParts>
  <Manager/>
  <Company>BGSW</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Management System Template</dc:title>
  <dc:subject>BGSW Cyber Security Relevance Assessment</dc:subject>
  <dc:creator>Sanjay Shankarappa (BGSW/DSO)</dc:creator>
  <cp:keywords/>
  <dc:description/>
  <cp:lastModifiedBy>FIXED-TERM Bhanuprakash Gowra (MS/EOC1-XC)</cp:lastModifiedBy>
  <cp:revision/>
  <dcterms:created xsi:type="dcterms:W3CDTF">2003-07-20T10:25:04Z</dcterms:created>
  <dcterms:modified xsi:type="dcterms:W3CDTF">2025-05-27T10:16:23Z</dcterms:modified>
  <cp:category>Internal</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
    <vt:lpwstr>2.0</vt:lpwstr>
  </property>
  <property fmtid="{D5CDD505-2E9C-101B-9397-08002B2CF9AE}" pid="3" name="Document number">
    <vt:lpwstr>QST-CSMS-01</vt:lpwstr>
  </property>
</Properties>
</file>